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defects" sheetId="1" state="visible" r:id="rId1"/>
    <sheet xmlns:r="http://schemas.openxmlformats.org/officeDocument/2006/relationships" name="Framework environments" sheetId="2" state="visible" r:id="rId2"/>
    <sheet xmlns:r="http://schemas.openxmlformats.org/officeDocument/2006/relationships" name="Ledger cells" sheetId="3" state="visible" r:id="rId3"/>
    <sheet xmlns:r="http://schemas.openxmlformats.org/officeDocument/2006/relationships" name="Stratified summa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6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Defect</t>
        </is>
      </c>
      <c r="D1" s="1" t="inlineStr">
        <is>
          <t>Location</t>
        </is>
      </c>
      <c r="E1" s="1" t="inlineStr">
        <is>
          <t>Status</t>
        </is>
      </c>
    </row>
    <row r="2">
      <c r="A2" s="2" t="inlineStr">
        <is>
          <t>F-01</t>
        </is>
      </c>
      <c r="B2" s="2" t="inlineStr">
        <is>
          <t>P0</t>
        </is>
      </c>
      <c r="C2" s="2" t="inlineStr">
        <is>
          <t>Framework version hardcoded in five places; registry cross-check compared a value with itself</t>
        </is>
      </c>
      <c r="D2" s="2" t="inlineStr">
        <is>
          <t>framework-browser-use-runner.py:198, framework-browser-use-smoke.py:62, run-browser-use-bookstack-v02.mjs:39, run-stagehand-bookstack-v02.mjs:113, run-agentlab-bookstack-adapter.py:26</t>
        </is>
      </c>
      <c r="E2" s="2" t="inlineStr">
        <is>
          <t>fixed</t>
        </is>
      </c>
    </row>
    <row r="3">
      <c r="A3" s="2" t="inlineStr">
        <is>
          <t>F-02</t>
        </is>
      </c>
      <c r="B3" s="2" t="inlineStr">
        <is>
          <t>P0</t>
        </is>
      </c>
      <c r="C3" s="2" t="inlineStr">
        <is>
          <t>Stagehand passed ignored fallbackCount, so a locator-fallback run was recorded as completed</t>
        </is>
      </c>
      <c r="D3" s="2" t="inlineStr">
        <is>
          <t>run-stagehand-bookstack-v02.mjs:67-75,92,110</t>
        </is>
      </c>
      <c r="E3" s="2" t="inlineStr">
        <is>
          <t>fixed</t>
        </is>
      </c>
    </row>
    <row r="4">
      <c r="A4" s="2" t="inlineStr">
        <is>
          <t>F-03</t>
        </is>
      </c>
      <c r="B4" s="2" t="inlineStr">
        <is>
          <t>P0</t>
        </is>
      </c>
      <c r="C4" s="2" t="inlineStr">
        <is>
          <t>Stagehand adapter never asserted the observation boundary at runtime</t>
        </is>
      </c>
      <c r="D4" s="2" t="inlineStr">
        <is>
          <t>run-stagehand-bookstack-v02.mjs:1-8</t>
        </is>
      </c>
      <c r="E4" s="2" t="inlineStr">
        <is>
          <t>fixed</t>
        </is>
      </c>
    </row>
    <row r="5">
      <c r="A5" s="3" t="inlineStr">
        <is>
          <t>F-04</t>
        </is>
      </c>
      <c r="B5" s="3" t="inlineStr">
        <is>
          <t>P1</t>
        </is>
      </c>
      <c r="C5" s="3" t="inlineStr">
        <is>
          <t>Custom Qwen client forwarded AI-SDK tool-result parts untouched</t>
        </is>
      </c>
      <c r="D5" s="3" t="inlineStr">
        <is>
          <t>stagehand-qwen-client.mjs:32</t>
        </is>
      </c>
      <c r="E5" s="3" t="inlineStr">
        <is>
          <t>open</t>
        </is>
      </c>
    </row>
    <row r="6">
      <c r="A6" s="3" t="inlineStr">
        <is>
          <t>F-05</t>
        </is>
      </c>
      <c r="B6" s="3" t="inlineStr">
        <is>
          <t>P1</t>
        </is>
      </c>
      <c r="C6" s="3" t="inlineStr">
        <is>
          <t>Malformed provider responses silently coerced (fail-open)</t>
        </is>
      </c>
      <c r="D6" s="3" t="inlineStr">
        <is>
          <t>stagehand-qwen-client.mjs:78-80</t>
        </is>
      </c>
      <c r="E6" s="3" t="inlineStr">
        <is>
          <t>open</t>
        </is>
      </c>
    </row>
    <row r="7">
      <c r="A7" s="2" t="inlineStr">
        <is>
          <t>F-06</t>
        </is>
      </c>
      <c r="B7" s="2" t="inlineStr">
        <is>
          <t>P0</t>
        </is>
      </c>
      <c r="C7" s="2" t="inlineStr">
        <is>
          <t>Recorded model could differ from the model actually called</t>
        </is>
      </c>
      <c r="D7" s="2" t="inlineStr">
        <is>
          <t>run-browser-use-bookstack-v02.mjs, run-stagehand-bookstack-v02.mjs</t>
        </is>
      </c>
      <c r="E7" s="2" t="inlineStr">
        <is>
          <t>fixed</t>
        </is>
      </c>
    </row>
    <row r="8">
      <c r="A8" s="3" t="inlineStr">
        <is>
          <t>F-07</t>
        </is>
      </c>
      <c r="B8" s="3" t="inlineStr">
        <is>
          <t>P1</t>
        </is>
      </c>
      <c r="C8" s="3" t="inlineStr">
        <is>
          <t>Driver default timeoutMs=15000 disagreed with manifest timeout_ms=30000</t>
        </is>
      </c>
      <c r="D8" s="3" t="inlineStr">
        <is>
          <t>volcengine-cua-driver.mjs:195, volcengine-hybrid-driver.mjs:63</t>
        </is>
      </c>
      <c r="E8" s="3" t="inlineStr">
        <is>
          <t>open</t>
        </is>
      </c>
    </row>
    <row r="9">
      <c r="A9" s="3" t="inlineStr">
        <is>
          <t>F-08</t>
        </is>
      </c>
      <c r="B9" s="3" t="inlineStr">
        <is>
          <t>P1</t>
        </is>
      </c>
      <c r="C9" s="3" t="inlineStr">
        <is>
          <t>Most native runners did not set PSS_REQUIRE_FROZEN_PROFILE=1</t>
        </is>
      </c>
      <c r="D9" s="3" t="inlineStr">
        <is>
          <t>run-bookstack-agent-pilot.mjs, run-indico-agent-pilot.mjs, juice-shop-matched-pilot.mjs and others</t>
        </is>
      </c>
      <c r="E9" s="3" t="inlineStr">
        <is>
          <t>open</t>
        </is>
      </c>
    </row>
    <row r="10">
      <c r="A10" s="3" t="inlineStr">
        <is>
          <t>F-09</t>
        </is>
      </c>
      <c r="B10" s="3" t="inlineStr">
        <is>
          <t>P1</t>
        </is>
      </c>
      <c r="C10" s="3" t="inlineStr">
        <is>
          <t>failure-taxonomy produced 9 of the 15 declared categories</t>
        </is>
      </c>
      <c r="D10" s="3" t="inlineStr">
        <is>
          <t>failure-taxonomy.mjs vs run-records.mjs</t>
        </is>
      </c>
      <c r="E10" s="3" t="inlineStr">
        <is>
          <t>open</t>
        </is>
      </c>
    </row>
    <row r="11">
      <c r="A11" s="2" t="inlineStr">
        <is>
          <t>F-10</t>
        </is>
      </c>
      <c r="B11" s="2" t="inlineStr">
        <is>
          <t>P2</t>
        </is>
      </c>
      <c r="C11" s="2" t="inlineStr">
        <is>
          <t>FRAMEWORK_VARIANTS ids and registry framework.id had no cross-check</t>
        </is>
      </c>
      <c r="D11" s="2" t="inlineStr">
        <is>
          <t>framework-variants.mjs vs configuration-registry.v0.2.json</t>
        </is>
      </c>
      <c r="E11" s="2" t="inlineStr">
        <is>
          <t>partly-fixed</t>
        </is>
      </c>
    </row>
    <row r="12">
      <c r="A12" s="3" t="inlineStr">
        <is>
          <t>F-11</t>
        </is>
      </c>
      <c r="B12" s="3" t="inlineStr">
        <is>
          <t>P1</t>
        </is>
      </c>
      <c r="C12" s="3" t="inlineStr">
        <is>
          <t>provider_raw_content_persisted was prose only</t>
        </is>
      </c>
      <c r="D12" s="3" t="inlineStr">
        <is>
          <t>research/phase2-replay-audit-smoke-2026-09-09.json</t>
        </is>
      </c>
      <c r="E12" s="3" t="inlineStr">
        <is>
          <t>open</t>
        </is>
      </c>
    </row>
    <row r="13">
      <c r="A13" s="2" t="inlineStr">
        <is>
          <t>F-12</t>
        </is>
      </c>
      <c r="B13" s="2" t="inlineStr">
        <is>
          <t>P1</t>
        </is>
      </c>
      <c r="C13" s="2" t="inlineStr">
        <is>
          <t>AgentLab version was the composite string 0.4.2/0.14.2</t>
        </is>
      </c>
      <c r="D13" s="2" t="inlineStr">
        <is>
          <t>run-agentlab-bookstack-adapter.py:26</t>
        </is>
      </c>
      <c r="E13" s="2" t="inlineStr">
        <is>
          <t>fixed</t>
        </is>
      </c>
    </row>
    <row r="14">
      <c r="A14" s="3" t="inlineStr">
        <is>
          <t>F-13</t>
        </is>
      </c>
      <c r="B14" s="3" t="inlineStr">
        <is>
          <t>P1</t>
        </is>
      </c>
      <c r="C14" s="3" t="inlineStr">
        <is>
          <t>AgentLab and Stagehand smoke markers had no ledger consumer</t>
        </is>
      </c>
      <c r="D14" s="3" t="inlineStr">
        <is>
          <t>package.json, run-agentlab-bookstack-adapter.py:38</t>
        </is>
      </c>
      <c r="E14" s="3" t="inlineStr">
        <is>
          <t>open</t>
        </is>
      </c>
    </row>
    <row r="15">
      <c r="A15" s="3" t="inlineStr">
        <is>
          <t>F-14</t>
        </is>
      </c>
      <c r="B15" s="3" t="inlineStr">
        <is>
          <t>P1</t>
        </is>
      </c>
      <c r="C15" s="3" t="inlineStr">
        <is>
          <t>The three adapters used three different oracle implementations</t>
        </is>
      </c>
      <c r="D15" s="3" t="inlineStr">
        <is>
          <t>framework-browser-use-runner.py:162, run-stagehand-bookstack-v02.mjs:84, pss_bookstack.py:58</t>
        </is>
      </c>
      <c r="E15" s="3" t="inlineStr">
        <is>
          <t>open</t>
        </is>
      </c>
    </row>
    <row r="16">
      <c r="A16" s="2" t="inlineStr">
        <is>
          <t>F-15</t>
        </is>
      </c>
      <c r="B16" s="2" t="inlineStr">
        <is>
          <t>P1</t>
        </is>
      </c>
      <c r="C16" s="2" t="inlineStr">
        <is>
          <t>Browser Use browser lifecycle had no try/finally</t>
        </is>
      </c>
      <c r="D16" s="2" t="inlineStr">
        <is>
          <t>framework-browser-use-runner.py:116-220</t>
        </is>
      </c>
      <c r="E16" s="2" t="inlineStr">
        <is>
          <t>fixed</t>
        </is>
      </c>
    </row>
    <row r="17">
      <c r="A17" s="3" t="inlineStr">
        <is>
          <t>F-16</t>
        </is>
      </c>
      <c r="B17" s="3" t="inlineStr">
        <is>
          <t>P1</t>
        </is>
      </c>
      <c r="C17" s="3" t="inlineStr">
        <is>
          <t>Several exceptions silently swallowed</t>
        </is>
      </c>
      <c r="D17" s="3" t="inlineStr">
        <is>
          <t>framework-browser-use-runner.py:80-81,109-110,163-164, replay-artifacts.mjs:148-152</t>
        </is>
      </c>
      <c r="E17" s="3" t="inlineStr">
        <is>
          <t>open</t>
        </is>
      </c>
    </row>
    <row r="18">
      <c r="A18" s="2" t="inlineStr">
        <is>
          <t>F-17</t>
        </is>
      </c>
      <c r="B18" s="2" t="inlineStr">
        <is>
          <t>P2</t>
        </is>
      </c>
      <c r="C18" s="2" t="inlineStr">
        <is>
          <t>Fallback XPath too wide and could click the wrong book</t>
        </is>
      </c>
      <c r="D18" s="2" t="inlineStr">
        <is>
          <t>run-stagehand-bookstack-v02.mjs:68</t>
        </is>
      </c>
      <c r="E18" s="2" t="inlineStr">
        <is>
          <t>fixed</t>
        </is>
      </c>
    </row>
    <row r="19">
      <c r="A19" s="2" t="inlineStr">
        <is>
          <t>F-18</t>
        </is>
      </c>
      <c r="B19" s="2" t="inlineStr">
        <is>
          <t>P2</t>
        </is>
      </c>
      <c r="C19" s="2" t="inlineStr">
        <is>
          <t>Hardcoded macOS Chrome path and /private/tmp browser profiles</t>
        </is>
      </c>
      <c r="D19" s="2" t="inlineStr">
        <is>
          <t>pss_bookstack.py:68, run-agentlab-bookstack-adapter.py:24, framework-browser-use-runner.py:118, framework-browser-use-smoke.py:26</t>
        </is>
      </c>
      <c r="E19" s="2" t="inlineStr">
        <is>
          <t>fixed</t>
        </is>
      </c>
    </row>
    <row r="20">
      <c r="A20" s="2" t="inlineStr">
        <is>
          <t>F-19</t>
        </is>
      </c>
      <c r="B20" s="2" t="inlineStr">
        <is>
          <t>P2</t>
        </is>
      </c>
      <c r="C20" s="2" t="inlineStr">
        <is>
          <t>run_id used Date.now() only, so same-millisecond runs collided</t>
        </is>
      </c>
      <c r="D20" s="2" t="inlineStr">
        <is>
          <t>run-browser-use-bookstack-v02.mjs:20, run-stagehand-bookstack-v02.mjs:17, framework-browser-use-runner.py:63</t>
        </is>
      </c>
      <c r="E20" s="2" t="inlineStr">
        <is>
          <t>fixed</t>
        </is>
      </c>
    </row>
    <row r="21">
      <c r="A21" s="3" t="inlineStr">
        <is>
          <t>F-20</t>
        </is>
      </c>
      <c r="B21" s="3" t="inlineStr">
        <is>
          <t>P2</t>
        </is>
      </c>
      <c r="C21" s="3" t="inlineStr">
        <is>
          <t>prompt_digest and action_schema_version were unverified declarations</t>
        </is>
      </c>
      <c r="D21" s="3" t="inlineStr">
        <is>
          <t>configuration-registry.v0.2.json:217,232</t>
        </is>
      </c>
      <c r="E21" s="3" t="inlineStr">
        <is>
          <t>open</t>
        </is>
      </c>
    </row>
    <row r="22">
      <c r="A22" s="3" t="inlineStr">
        <is>
          <t>F-21</t>
        </is>
      </c>
      <c r="B22" s="3" t="inlineStr">
        <is>
          <t>P2</t>
        </is>
      </c>
      <c r="C22" s="3" t="inlineStr">
        <is>
          <t>A null decision was silently treated as done</t>
        </is>
      </c>
      <c r="D22" s="3" t="inlineStr">
        <is>
          <t>agent-adapter.mjs:44-47</t>
        </is>
      </c>
      <c r="E22" s="3" t="inlineStr">
        <is>
          <t>open</t>
        </is>
      </c>
    </row>
    <row r="23">
      <c r="A23" s="2" t="inlineStr">
        <is>
          <t>F-22</t>
        </is>
      </c>
      <c r="B23" s="2" t="inlineStr">
        <is>
          <t>P2</t>
        </is>
      </c>
      <c r="C23" s="2" t="inlineStr">
        <is>
          <t>check-framework-readiness spawned commands without a timeout</t>
        </is>
      </c>
      <c r="D23" s="2" t="inlineStr">
        <is>
          <t>check-framework-readiness.mjs:5,9,13</t>
        </is>
      </c>
      <c r="E23" s="2" t="inlineStr">
        <is>
          <t>fixed</t>
        </is>
      </c>
    </row>
    <row r="24">
      <c r="A24" s="2" t="inlineStr">
        <is>
          <t>F-23</t>
        </is>
      </c>
      <c r="B24" s="2" t="inlineStr">
        <is>
          <t>P2</t>
        </is>
      </c>
      <c r="C24" s="2" t="inlineStr">
        <is>
          <t>Missing provider env raised a bare KeyError</t>
        </is>
      </c>
      <c r="D24" s="2" t="inlineStr">
        <is>
          <t>framework-browser-use-runner.py:123-125,139</t>
        </is>
      </c>
      <c r="E24" s="2" t="inlineStr">
        <is>
          <t>fixed</t>
        </is>
      </c>
    </row>
    <row r="25">
      <c r="A25" s="2" t="inlineStr">
        <is>
          <t>F-24</t>
        </is>
      </c>
      <c r="B25" s="2" t="inlineStr">
        <is>
          <t>P2</t>
        </is>
      </c>
      <c r="C25" s="2" t="inlineStr">
        <is>
          <t>Dead viewport/slow_mo/timeout fields on the AgentLab task</t>
        </is>
      </c>
      <c r="D25" s="2" t="inlineStr">
        <is>
          <t>pss_bookstack.py:30-32</t>
        </is>
      </c>
      <c r="E25" s="2" t="inlineStr">
        <is>
          <t>fixed</t>
        </is>
      </c>
    </row>
    <row r="26">
      <c r="A26" s="2" t="inlineStr">
        <is>
          <t>F-25</t>
        </is>
      </c>
      <c r="B26" s="2" t="inlineStr">
        <is>
          <t>P0</t>
        </is>
      </c>
      <c r="C26" s="2" t="inlineStr">
        <is>
          <t>The scripted comparator arm declared Playwright 1.55 while 1.62.1 was installed and locked, so every scripted run record mis-declared the browser automation version</t>
        </is>
      </c>
      <c r="D26" s="2" t="inlineStr">
        <is>
          <t>configuration-registry.v0.2.json scripted configs (both statuses)</t>
        </is>
      </c>
      <c r="E26" s="2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18" customWidth="1" min="4" max="4"/>
    <col width="18" customWidth="1" min="5" max="5"/>
    <col width="26" customWidth="1" min="6" max="6"/>
    <col width="22" customWidth="1" min="7" max="7"/>
  </cols>
  <sheetData>
    <row r="1">
      <c r="A1" s="1" t="inlineStr">
        <is>
          <t>Environment</t>
        </is>
      </c>
      <c r="B1" s="1" t="inlineStr">
        <is>
          <t>Track</t>
        </is>
      </c>
      <c r="C1" s="1" t="inlineStr">
        <is>
          <t>Framework</t>
        </is>
      </c>
      <c r="D1" s="1" t="inlineStr">
        <is>
          <t>Declared version</t>
        </is>
      </c>
      <c r="E1" s="1" t="inlineStr">
        <is>
          <t>Installed version</t>
        </is>
      </c>
      <c r="F1" s="1" t="inlineStr">
        <is>
          <t>Install status</t>
        </is>
      </c>
      <c r="G1" s="1" t="inlineStr">
        <is>
          <t>Adapter compatibility</t>
        </is>
      </c>
    </row>
    <row r="2">
      <c r="A2" s="2" t="inlineStr">
        <is>
          <t>h-browser-use</t>
        </is>
      </c>
      <c r="B2" s="2" t="inlineStr">
        <is>
          <t>historical</t>
        </is>
      </c>
      <c r="C2" s="2" t="inlineStr">
        <is>
          <t>browser-use-grounded</t>
        </is>
      </c>
      <c r="D2" s="2" t="inlineStr">
        <is>
          <t>0.13.10</t>
        </is>
      </c>
      <c r="E2" s="2" t="inlineStr">
        <is>
          <t>0.13.10</t>
        </is>
      </c>
      <c r="F2" s="2" t="inlineStr">
        <is>
          <t>installed</t>
        </is>
      </c>
      <c r="G2" s="2" t="inlineStr">
        <is>
          <t>compatible</t>
        </is>
      </c>
    </row>
    <row r="3">
      <c r="A3" s="2" t="inlineStr">
        <is>
          <t>l-browser-use</t>
        </is>
      </c>
      <c r="B3" s="2" t="inlineStr">
        <is>
          <t>latest</t>
        </is>
      </c>
      <c r="C3" s="2" t="inlineStr">
        <is>
          <t>browser-use-grounded</t>
        </is>
      </c>
      <c r="D3" s="2" t="n"/>
      <c r="E3" s="2" t="inlineStr">
        <is>
          <t>0.13.10</t>
        </is>
      </c>
      <c r="F3" s="2" t="inlineStr">
        <is>
          <t>collapsed-to-historical</t>
        </is>
      </c>
      <c r="G3" s="2" t="inlineStr">
        <is>
          <t>not-checked</t>
        </is>
      </c>
    </row>
    <row r="4">
      <c r="A4" s="2" t="inlineStr">
        <is>
          <t>h-agentlab</t>
        </is>
      </c>
      <c r="B4" s="2" t="inlineStr">
        <is>
          <t>historical</t>
        </is>
      </c>
      <c r="C4" s="2" t="inlineStr">
        <is>
          <t>agentlab-browsergym-grounded</t>
        </is>
      </c>
      <c r="D4" s="2" t="inlineStr">
        <is>
          <t>0.4.2</t>
        </is>
      </c>
      <c r="E4" s="2" t="inlineStr">
        <is>
          <t>0.4.2</t>
        </is>
      </c>
      <c r="F4" s="2" t="inlineStr">
        <is>
          <t>installed</t>
        </is>
      </c>
      <c r="G4" s="2" t="inlineStr">
        <is>
          <t>compatible</t>
        </is>
      </c>
    </row>
    <row r="5">
      <c r="A5" s="2" t="inlineStr">
        <is>
          <t>l-agentlab</t>
        </is>
      </c>
      <c r="B5" s="2" t="inlineStr">
        <is>
          <t>latest</t>
        </is>
      </c>
      <c r="C5" s="2" t="inlineStr">
        <is>
          <t>agentlab-browsergym-grounded</t>
        </is>
      </c>
      <c r="D5" s="2" t="n"/>
      <c r="E5" s="2" t="inlineStr">
        <is>
          <t>0.4.2</t>
        </is>
      </c>
      <c r="F5" s="2" t="inlineStr">
        <is>
          <t>collapsed-to-historical</t>
        </is>
      </c>
      <c r="G5" s="2" t="inlineStr">
        <is>
          <t>not-checked</t>
        </is>
      </c>
    </row>
    <row r="6">
      <c r="A6" s="2" t="inlineStr">
        <is>
          <t>h-stagehand</t>
        </is>
      </c>
      <c r="B6" s="2" t="inlineStr">
        <is>
          <t>historical</t>
        </is>
      </c>
      <c r="C6" s="2" t="inlineStr">
        <is>
          <t>stagehand-grounded</t>
        </is>
      </c>
      <c r="D6" s="2" t="inlineStr">
        <is>
          <t>3.0.8</t>
        </is>
      </c>
      <c r="E6" s="2" t="inlineStr">
        <is>
          <t>3.0.8</t>
        </is>
      </c>
      <c r="F6" s="2" t="inlineStr">
        <is>
          <t>installed</t>
        </is>
      </c>
      <c r="G6" s="2" t="inlineStr">
        <is>
          <t>compatible</t>
        </is>
      </c>
    </row>
    <row r="7">
      <c r="A7" s="2" t="inlineStr">
        <is>
          <t>l-stagehand</t>
        </is>
      </c>
      <c r="B7" s="2" t="inlineStr">
        <is>
          <t>latest</t>
        </is>
      </c>
      <c r="C7" s="2" t="inlineStr">
        <is>
          <t>stagehand-grounded</t>
        </is>
      </c>
      <c r="D7" s="2" t="inlineStr">
        <is>
          <t>4.1.0</t>
        </is>
      </c>
      <c r="E7" s="2" t="inlineStr">
        <is>
          <t>4.1.0</t>
        </is>
      </c>
      <c r="F7" s="2" t="inlineStr">
        <is>
          <t>installed</t>
        </is>
      </c>
      <c r="G7" s="2" t="inlineStr">
        <is>
          <t>incompatible</t>
        </is>
      </c>
    </row>
    <row r="8">
      <c r="A8" s="2" t="inlineStr">
        <is>
          <t>h-playwright</t>
        </is>
      </c>
      <c r="B8" s="2" t="inlineStr">
        <is>
          <t>historical</t>
        </is>
      </c>
      <c r="C8" s="2" t="inlineStr">
        <is>
          <t>playwright</t>
        </is>
      </c>
      <c r="D8" s="2" t="inlineStr">
        <is>
          <t>1.62.1</t>
        </is>
      </c>
      <c r="E8" s="2" t="inlineStr">
        <is>
          <t>1.62.1</t>
        </is>
      </c>
      <c r="F8" s="2" t="inlineStr">
        <is>
          <t>installed</t>
        </is>
      </c>
      <c r="G8" s="2" t="inlineStr">
        <is>
          <t>not-checked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16" customWidth="1" min="5" max="5"/>
    <col width="10" customWidth="1" min="6" max="6"/>
    <col width="14" customWidth="1" min="7" max="7"/>
    <col width="10" customWidth="1" min="8" max="8"/>
    <col width="34" customWidth="1" min="9" max="9"/>
    <col width="52" customWidth="1" min="10" max="10"/>
  </cols>
  <sheetData>
    <row r="1">
      <c r="A1" s="1" t="inlineStr">
        <is>
          <t>Provider</t>
        </is>
      </c>
      <c r="B1" s="1" t="inlineStr">
        <is>
          <t>Condition</t>
        </is>
      </c>
      <c r="C1" s="1" t="inlineStr">
        <is>
          <t>Run tag</t>
        </is>
      </c>
      <c r="D1" s="1" t="inlineStr">
        <is>
          <t>Arm</t>
        </is>
      </c>
      <c r="E1" s="1" t="inlineStr">
        <is>
          <t>Role</t>
        </is>
      </c>
      <c r="F1" s="1" t="inlineStr">
        <is>
          <t>Started</t>
        </is>
      </c>
      <c r="G1" s="1" t="inlineStr">
        <is>
          <t>Strict passes</t>
        </is>
      </c>
      <c r="H1" s="1" t="inlineStr">
        <is>
          <t>Failures</t>
        </is>
      </c>
      <c r="I1" s="1" t="inlineStr">
        <is>
          <t>Failure categories</t>
        </is>
      </c>
      <c r="J1" s="1" t="inlineStr">
        <is>
          <t>Source summary</t>
        </is>
      </c>
    </row>
    <row r="2">
      <c r="A2" s="2" t="inlineStr">
        <is>
          <t>aliyun</t>
        </is>
      </c>
      <c r="B2" s="2" t="inlineStr">
        <is>
          <t>clean-stable</t>
        </is>
      </c>
      <c r="C2" s="2" t="inlineStr">
        <is>
          <t>canary-smoke</t>
        </is>
      </c>
      <c r="D2" s="2" t="inlineStr">
        <is>
          <t>playwright</t>
        </is>
      </c>
      <c r="E2" s="2" t="inlineStr">
        <is>
          <t>plumbing-smoke</t>
        </is>
      </c>
      <c r="F2" s="2" t="n">
        <v>1</v>
      </c>
      <c r="G2" s="2" t="n">
        <v>0</v>
      </c>
      <c r="H2" s="2" t="n">
        <v>1</v>
      </c>
      <c r="I2" s="2" t="inlineStr">
        <is>
          <t>none</t>
        </is>
      </c>
      <c r="J2" s="2" t="inlineStr">
        <is>
          <t>2026-09-12-aliyun-qwen3-vl-flash-prestashop-clean-stable-canary-canary-smoke-pilot.json</t>
        </is>
      </c>
    </row>
    <row r="3">
      <c r="A3" s="2" t="inlineStr">
        <is>
          <t>aliyun</t>
        </is>
      </c>
      <c r="B3" s="2" t="inlineStr">
        <is>
          <t>clean-stable</t>
        </is>
      </c>
      <c r="C3" s="2" t="inlineStr">
        <is>
          <t>canary-smoke</t>
        </is>
      </c>
      <c r="D3" s="2" t="inlineStr">
        <is>
          <t>visual</t>
        </is>
      </c>
      <c r="E3" s="2" t="inlineStr">
        <is>
          <t>plumbing-smoke</t>
        </is>
      </c>
      <c r="F3" s="2" t="n">
        <v>1</v>
      </c>
      <c r="G3" s="2" t="n">
        <v>1</v>
      </c>
      <c r="H3" s="2" t="n">
        <v>0</v>
      </c>
      <c r="I3" s="2" t="inlineStr">
        <is>
          <t>none</t>
        </is>
      </c>
      <c r="J3" s="2" t="inlineStr">
        <is>
          <t>2026-09-12-aliyun-qwen3-vl-flash-prestashop-clean-stable-canary-canary-smoke-pilot.json</t>
        </is>
      </c>
    </row>
    <row r="4">
      <c r="A4" s="2" t="inlineStr">
        <is>
          <t>aliyun</t>
        </is>
      </c>
      <c r="B4" s="2" t="inlineStr">
        <is>
          <t>clean-stable</t>
        </is>
      </c>
      <c r="C4" s="2" t="inlineStr">
        <is>
          <t>canary-smoke</t>
        </is>
      </c>
      <c r="D4" s="2" t="inlineStr">
        <is>
          <t>hybrid</t>
        </is>
      </c>
      <c r="E4" s="2" t="inlineStr">
        <is>
          <t>plumbing-smoke</t>
        </is>
      </c>
      <c r="F4" s="2" t="n">
        <v>1</v>
      </c>
      <c r="G4" s="2" t="n">
        <v>1</v>
      </c>
      <c r="H4" s="2" t="n">
        <v>0</v>
      </c>
      <c r="I4" s="2" t="inlineStr">
        <is>
          <t>none</t>
        </is>
      </c>
      <c r="J4" s="2" t="inlineStr">
        <is>
          <t>2026-09-12-aliyun-qwen3-vl-flash-prestashop-clean-stable-canary-canary-smoke-pilot.json</t>
        </is>
      </c>
    </row>
    <row r="5">
      <c r="A5" s="2" t="inlineStr">
        <is>
          <t>aliyun</t>
        </is>
      </c>
      <c r="B5" s="2" t="inlineStr">
        <is>
          <t>clean-stable</t>
        </is>
      </c>
      <c r="C5" s="2" t="inlineStr">
        <is>
          <t>block-smoke</t>
        </is>
      </c>
      <c r="D5" s="2" t="inlineStr">
        <is>
          <t>playwright</t>
        </is>
      </c>
      <c r="E5" s="2" t="inlineStr">
        <is>
          <t>plumbing-smoke</t>
        </is>
      </c>
      <c r="F5" s="2" t="n">
        <v>2</v>
      </c>
      <c r="G5" s="2" t="n">
        <v>2</v>
      </c>
      <c r="H5" s="2" t="n">
        <v>0</v>
      </c>
      <c r="I5" s="2" t="inlineStr">
        <is>
          <t>none</t>
        </is>
      </c>
      <c r="J5" s="2" t="inlineStr">
        <is>
          <t>2026-09-12-aliyun-qwen3.7-flash-prestashop-clean-stable-canary-block-smoke-pilot.json</t>
        </is>
      </c>
    </row>
    <row r="6">
      <c r="A6" s="2" t="inlineStr">
        <is>
          <t>aliyun</t>
        </is>
      </c>
      <c r="B6" s="2" t="inlineStr">
        <is>
          <t>clean-stable</t>
        </is>
      </c>
      <c r="C6" s="2" t="inlineStr">
        <is>
          <t>block-smoke</t>
        </is>
      </c>
      <c r="D6" s="2" t="inlineStr">
        <is>
          <t>visual</t>
        </is>
      </c>
      <c r="E6" s="2" t="inlineStr">
        <is>
          <t>plumbing-smoke</t>
        </is>
      </c>
      <c r="F6" s="2" t="n">
        <v>2</v>
      </c>
      <c r="G6" s="2" t="n">
        <v>2</v>
      </c>
      <c r="H6" s="2" t="n">
        <v>0</v>
      </c>
      <c r="I6" s="2" t="inlineStr">
        <is>
          <t>none</t>
        </is>
      </c>
      <c r="J6" s="2" t="inlineStr">
        <is>
          <t>2026-09-12-aliyun-qwen3.7-flash-prestashop-clean-stable-canary-block-smoke-pilot.json</t>
        </is>
      </c>
    </row>
    <row r="7">
      <c r="A7" s="2" t="inlineStr">
        <is>
          <t>aliyun</t>
        </is>
      </c>
      <c r="B7" s="2" t="inlineStr">
        <is>
          <t>clean-stable</t>
        </is>
      </c>
      <c r="C7" s="2" t="inlineStr">
        <is>
          <t>block-smoke</t>
        </is>
      </c>
      <c r="D7" s="2" t="inlineStr">
        <is>
          <t>hybrid</t>
        </is>
      </c>
      <c r="E7" s="2" t="inlineStr">
        <is>
          <t>plumbing-smoke</t>
        </is>
      </c>
      <c r="F7" s="2" t="n">
        <v>2</v>
      </c>
      <c r="G7" s="2" t="n">
        <v>2</v>
      </c>
      <c r="H7" s="2" t="n">
        <v>0</v>
      </c>
      <c r="I7" s="2" t="inlineStr">
        <is>
          <t>none</t>
        </is>
      </c>
      <c r="J7" s="2" t="inlineStr">
        <is>
          <t>2026-09-12-aliyun-qwen3.7-flash-prestashop-clean-stable-canary-block-smoke-pilot.json</t>
        </is>
      </c>
    </row>
    <row r="8">
      <c r="A8" s="2" t="inlineStr">
        <is>
          <t>aliyun</t>
        </is>
      </c>
      <c r="B8" s="2" t="inlineStr">
        <is>
          <t>clean-stable</t>
        </is>
      </c>
      <c r="C8" s="2" t="inlineStr">
        <is>
          <t>block-smoke2</t>
        </is>
      </c>
      <c r="D8" s="2" t="inlineStr">
        <is>
          <t>playwright</t>
        </is>
      </c>
      <c r="E8" s="2" t="inlineStr">
        <is>
          <t>plumbing-smoke</t>
        </is>
      </c>
      <c r="F8" s="2" t="n">
        <v>2</v>
      </c>
      <c r="G8" s="2" t="n">
        <v>2</v>
      </c>
      <c r="H8" s="2" t="n">
        <v>0</v>
      </c>
      <c r="I8" s="2" t="inlineStr">
        <is>
          <t>none</t>
        </is>
      </c>
      <c r="J8" s="2" t="inlineStr">
        <is>
          <t>2026-09-12-aliyun-qwen3.7-flash-prestashop-clean-stable-canary-block-smoke2-pilot.json</t>
        </is>
      </c>
    </row>
    <row r="9">
      <c r="A9" s="2" t="inlineStr">
        <is>
          <t>aliyun</t>
        </is>
      </c>
      <c r="B9" s="2" t="inlineStr">
        <is>
          <t>clean-stable</t>
        </is>
      </c>
      <c r="C9" s="2" t="inlineStr">
        <is>
          <t>block-smoke2</t>
        </is>
      </c>
      <c r="D9" s="2" t="inlineStr">
        <is>
          <t>visual</t>
        </is>
      </c>
      <c r="E9" s="2" t="inlineStr">
        <is>
          <t>plumbing-smoke</t>
        </is>
      </c>
      <c r="F9" s="2" t="n">
        <v>2</v>
      </c>
      <c r="G9" s="2" t="n">
        <v>2</v>
      </c>
      <c r="H9" s="2" t="n">
        <v>0</v>
      </c>
      <c r="I9" s="2" t="inlineStr">
        <is>
          <t>none</t>
        </is>
      </c>
      <c r="J9" s="2" t="inlineStr">
        <is>
          <t>2026-09-12-aliyun-qwen3.7-flash-prestashop-clean-stable-canary-block-smoke2-pilot.json</t>
        </is>
      </c>
    </row>
    <row r="10">
      <c r="A10" s="2" t="inlineStr">
        <is>
          <t>aliyun</t>
        </is>
      </c>
      <c r="B10" s="2" t="inlineStr">
        <is>
          <t>clean-stable</t>
        </is>
      </c>
      <c r="C10" s="2" t="inlineStr">
        <is>
          <t>block-smoke2</t>
        </is>
      </c>
      <c r="D10" s="2" t="inlineStr">
        <is>
          <t>hybrid</t>
        </is>
      </c>
      <c r="E10" s="2" t="inlineStr">
        <is>
          <t>plumbing-smoke</t>
        </is>
      </c>
      <c r="F10" s="2" t="n">
        <v>2</v>
      </c>
      <c r="G10" s="2" t="n">
        <v>2</v>
      </c>
      <c r="H10" s="2" t="n">
        <v>0</v>
      </c>
      <c r="I10" s="2" t="inlineStr">
        <is>
          <t>none</t>
        </is>
      </c>
      <c r="J10" s="2" t="inlineStr">
        <is>
          <t>2026-09-12-aliyun-qwen3.7-flash-prestashop-clean-stable-canary-block-smoke2-pilot.json</t>
        </is>
      </c>
    </row>
    <row r="11">
      <c r="A11" s="2" t="inlineStr">
        <is>
          <t>aliyun</t>
        </is>
      </c>
      <c r="B11" s="2" t="inlineStr">
        <is>
          <t>clean-stable</t>
        </is>
      </c>
      <c r="C11" s="2" t="inlineStr">
        <is>
          <t>canary-r3</t>
        </is>
      </c>
      <c r="D11" s="2" t="inlineStr">
        <is>
          <t>playwright</t>
        </is>
      </c>
      <c r="E11" s="2" t="inlineStr">
        <is>
          <t>pilot-evidence</t>
        </is>
      </c>
      <c r="F11" s="2" t="n">
        <v>3</v>
      </c>
      <c r="G11" s="2" t="n">
        <v>3</v>
      </c>
      <c r="H11" s="2" t="n">
        <v>0</v>
      </c>
      <c r="I11" s="2" t="inlineStr">
        <is>
          <t>none</t>
        </is>
      </c>
      <c r="J11" s="2" t="inlineStr">
        <is>
          <t>2026-09-12-aliyun-qwen3.7-flash-prestashop-clean-stable-canary-canary-r3-pilot.json</t>
        </is>
      </c>
    </row>
    <row r="12">
      <c r="A12" s="2" t="inlineStr">
        <is>
          <t>aliyun</t>
        </is>
      </c>
      <c r="B12" s="2" t="inlineStr">
        <is>
          <t>clean-stable</t>
        </is>
      </c>
      <c r="C12" s="2" t="inlineStr">
        <is>
          <t>canary-r3</t>
        </is>
      </c>
      <c r="D12" s="2" t="inlineStr">
        <is>
          <t>visual</t>
        </is>
      </c>
      <c r="E12" s="2" t="inlineStr">
        <is>
          <t>pilot-evidence</t>
        </is>
      </c>
      <c r="F12" s="2" t="n">
        <v>3</v>
      </c>
      <c r="G12" s="2" t="n">
        <v>3</v>
      </c>
      <c r="H12" s="2" t="n">
        <v>0</v>
      </c>
      <c r="I12" s="2" t="inlineStr">
        <is>
          <t>none</t>
        </is>
      </c>
      <c r="J12" s="2" t="inlineStr">
        <is>
          <t>2026-09-12-aliyun-qwen3.7-flash-prestashop-clean-stable-canary-canary-r3-pilot.json</t>
        </is>
      </c>
    </row>
    <row r="13">
      <c r="A13" s="2" t="inlineStr">
        <is>
          <t>aliyun</t>
        </is>
      </c>
      <c r="B13" s="2" t="inlineStr">
        <is>
          <t>clean-stable</t>
        </is>
      </c>
      <c r="C13" s="2" t="inlineStr">
        <is>
          <t>canary-r3</t>
        </is>
      </c>
      <c r="D13" s="2" t="inlineStr">
        <is>
          <t>hybrid</t>
        </is>
      </c>
      <c r="E13" s="2" t="inlineStr">
        <is>
          <t>pilot-evidence</t>
        </is>
      </c>
      <c r="F13" s="2" t="n">
        <v>3</v>
      </c>
      <c r="G13" s="2" t="n">
        <v>3</v>
      </c>
      <c r="H13" s="2" t="n">
        <v>0</v>
      </c>
      <c r="I13" s="2" t="inlineStr">
        <is>
          <t>none</t>
        </is>
      </c>
      <c r="J13" s="2" t="inlineStr">
        <is>
          <t>2026-09-12-aliyun-qwen3.7-flash-prestashop-clean-stable-canary-canary-r3-pilot.json</t>
        </is>
      </c>
    </row>
    <row r="14">
      <c r="A14" s="2" t="inlineStr">
        <is>
          <t>aliyun</t>
        </is>
      </c>
      <c r="B14" s="2" t="inlineStr">
        <is>
          <t>clean-stable</t>
        </is>
      </c>
      <c r="C14" s="2" t="inlineStr">
        <is>
          <t>canary-smoke</t>
        </is>
      </c>
      <c r="D14" s="2" t="inlineStr">
        <is>
          <t>playwright</t>
        </is>
      </c>
      <c r="E14" s="2" t="inlineStr">
        <is>
          <t>plumbing-smoke</t>
        </is>
      </c>
      <c r="F14" s="2" t="n">
        <v>1</v>
      </c>
      <c r="G14" s="2" t="n">
        <v>0</v>
      </c>
      <c r="H14" s="2" t="n">
        <v>1</v>
      </c>
      <c r="I14" s="2" t="inlineStr">
        <is>
          <t>none</t>
        </is>
      </c>
      <c r="J14" s="2" t="inlineStr">
        <is>
          <t>2026-09-12-aliyun-qwen3.7-flash-prestashop-clean-stable-canary-canary-smoke-pilot.json</t>
        </is>
      </c>
    </row>
    <row r="15">
      <c r="A15" s="2" t="inlineStr">
        <is>
          <t>aliyun</t>
        </is>
      </c>
      <c r="B15" s="2" t="inlineStr">
        <is>
          <t>clean-stable</t>
        </is>
      </c>
      <c r="C15" s="2" t="inlineStr">
        <is>
          <t>canary-smoke</t>
        </is>
      </c>
      <c r="D15" s="2" t="inlineStr">
        <is>
          <t>visual</t>
        </is>
      </c>
      <c r="E15" s="2" t="inlineStr">
        <is>
          <t>plumbing-smoke</t>
        </is>
      </c>
      <c r="F15" s="2" t="n">
        <v>1</v>
      </c>
      <c r="G15" s="2" t="n">
        <v>1</v>
      </c>
      <c r="H15" s="2" t="n">
        <v>0</v>
      </c>
      <c r="I15" s="2" t="inlineStr">
        <is>
          <t>none</t>
        </is>
      </c>
      <c r="J15" s="2" t="inlineStr">
        <is>
          <t>2026-09-12-aliyun-qwen3.7-flash-prestashop-clean-stable-canary-canary-smoke-pilot.json</t>
        </is>
      </c>
    </row>
    <row r="16">
      <c r="A16" s="2" t="inlineStr">
        <is>
          <t>aliyun</t>
        </is>
      </c>
      <c r="B16" s="2" t="inlineStr">
        <is>
          <t>clean-stable</t>
        </is>
      </c>
      <c r="C16" s="2" t="inlineStr">
        <is>
          <t>canary-smoke</t>
        </is>
      </c>
      <c r="D16" s="2" t="inlineStr">
        <is>
          <t>hybrid</t>
        </is>
      </c>
      <c r="E16" s="2" t="inlineStr">
        <is>
          <t>plumbing-smoke</t>
        </is>
      </c>
      <c r="F16" s="2" t="n">
        <v>1</v>
      </c>
      <c r="G16" s="2" t="n">
        <v>1</v>
      </c>
      <c r="H16" s="2" t="n">
        <v>0</v>
      </c>
      <c r="I16" s="2" t="inlineStr">
        <is>
          <t>none</t>
        </is>
      </c>
      <c r="J16" s="2" t="inlineStr">
        <is>
          <t>2026-09-12-aliyun-qwen3.7-flash-prestashop-clean-stable-canary-canary-smoke-pilot.json</t>
        </is>
      </c>
    </row>
    <row r="17">
      <c r="A17" s="2" t="inlineStr">
        <is>
          <t>aliyun</t>
        </is>
      </c>
      <c r="B17" s="2" t="inlineStr">
        <is>
          <t>clean-stable</t>
        </is>
      </c>
      <c r="C17" s="2" t="inlineStr">
        <is>
          <t>canary-smoke2</t>
        </is>
      </c>
      <c r="D17" s="2" t="inlineStr">
        <is>
          <t>playwright</t>
        </is>
      </c>
      <c r="E17" s="2" t="inlineStr">
        <is>
          <t>plumbing-smoke</t>
        </is>
      </c>
      <c r="F17" s="2" t="n">
        <v>1</v>
      </c>
      <c r="G17" s="2" t="n">
        <v>0</v>
      </c>
      <c r="H17" s="2" t="n">
        <v>1</v>
      </c>
      <c r="I17" s="2" t="inlineStr">
        <is>
          <t>none</t>
        </is>
      </c>
      <c r="J17" s="2" t="inlineStr">
        <is>
          <t>2026-09-12-aliyun-qwen3.7-flash-prestashop-clean-stable-canary-canary-smoke2-pilot.json</t>
        </is>
      </c>
    </row>
    <row r="18">
      <c r="A18" s="2" t="inlineStr">
        <is>
          <t>aliyun</t>
        </is>
      </c>
      <c r="B18" s="2" t="inlineStr">
        <is>
          <t>clean-stable</t>
        </is>
      </c>
      <c r="C18" s="2" t="inlineStr">
        <is>
          <t>canary-smoke2</t>
        </is>
      </c>
      <c r="D18" s="2" t="inlineStr">
        <is>
          <t>visual</t>
        </is>
      </c>
      <c r="E18" s="2" t="inlineStr">
        <is>
          <t>plumbing-smoke</t>
        </is>
      </c>
      <c r="F18" s="2" t="n">
        <v>1</v>
      </c>
      <c r="G18" s="2" t="n">
        <v>1</v>
      </c>
      <c r="H18" s="2" t="n">
        <v>0</v>
      </c>
      <c r="I18" s="2" t="inlineStr">
        <is>
          <t>none</t>
        </is>
      </c>
      <c r="J18" s="2" t="inlineStr">
        <is>
          <t>2026-09-12-aliyun-qwen3.7-flash-prestashop-clean-stable-canary-canary-smoke2-pilot.json</t>
        </is>
      </c>
    </row>
    <row r="19">
      <c r="A19" s="2" t="inlineStr">
        <is>
          <t>aliyun</t>
        </is>
      </c>
      <c r="B19" s="2" t="inlineStr">
        <is>
          <t>clean-stable</t>
        </is>
      </c>
      <c r="C19" s="2" t="inlineStr">
        <is>
          <t>canary-smoke2</t>
        </is>
      </c>
      <c r="D19" s="2" t="inlineStr">
        <is>
          <t>hybrid</t>
        </is>
      </c>
      <c r="E19" s="2" t="inlineStr">
        <is>
          <t>plumbing-smoke</t>
        </is>
      </c>
      <c r="F19" s="2" t="n">
        <v>1</v>
      </c>
      <c r="G19" s="2" t="n">
        <v>1</v>
      </c>
      <c r="H19" s="2" t="n">
        <v>0</v>
      </c>
      <c r="I19" s="2" t="inlineStr">
        <is>
          <t>none</t>
        </is>
      </c>
      <c r="J19" s="2" t="inlineStr">
        <is>
          <t>2026-09-12-aliyun-qwen3.7-flash-prestashop-clean-stable-canary-canary-smoke2-pilot.json</t>
        </is>
      </c>
    </row>
    <row r="20">
      <c r="A20" s="2" t="inlineStr">
        <is>
          <t>aliyun</t>
        </is>
      </c>
      <c r="B20" s="2" t="inlineStr">
        <is>
          <t>clean-stable</t>
        </is>
      </c>
      <c r="C20" s="2" t="inlineStr">
        <is>
          <t>canary-smoke3</t>
        </is>
      </c>
      <c r="D20" s="2" t="inlineStr">
        <is>
          <t>playwright</t>
        </is>
      </c>
      <c r="E20" s="2" t="inlineStr">
        <is>
          <t>plumbing-smoke</t>
        </is>
      </c>
      <c r="F20" s="2" t="n">
        <v>1</v>
      </c>
      <c r="G20" s="2" t="n">
        <v>1</v>
      </c>
      <c r="H20" s="2" t="n">
        <v>0</v>
      </c>
      <c r="I20" s="2" t="inlineStr">
        <is>
          <t>none</t>
        </is>
      </c>
      <c r="J20" s="2" t="inlineStr">
        <is>
          <t>2026-09-12-aliyun-qwen3.7-flash-prestashop-clean-stable-canary-canary-smoke3-pilot.json</t>
        </is>
      </c>
    </row>
    <row r="21">
      <c r="A21" s="2" t="inlineStr">
        <is>
          <t>aliyun</t>
        </is>
      </c>
      <c r="B21" s="2" t="inlineStr">
        <is>
          <t>clean-stable</t>
        </is>
      </c>
      <c r="C21" s="2" t="inlineStr">
        <is>
          <t>canary-smoke3</t>
        </is>
      </c>
      <c r="D21" s="2" t="inlineStr">
        <is>
          <t>visual</t>
        </is>
      </c>
      <c r="E21" s="2" t="inlineStr">
        <is>
          <t>plumbing-smoke</t>
        </is>
      </c>
      <c r="F21" s="2" t="n">
        <v>1</v>
      </c>
      <c r="G21" s="2" t="n">
        <v>1</v>
      </c>
      <c r="H21" s="2" t="n">
        <v>0</v>
      </c>
      <c r="I21" s="2" t="inlineStr">
        <is>
          <t>none</t>
        </is>
      </c>
      <c r="J21" s="2" t="inlineStr">
        <is>
          <t>2026-09-12-aliyun-qwen3.7-flash-prestashop-clean-stable-canary-canary-smoke3-pilot.json</t>
        </is>
      </c>
    </row>
    <row r="22">
      <c r="A22" s="2" t="inlineStr">
        <is>
          <t>aliyun</t>
        </is>
      </c>
      <c r="B22" s="2" t="inlineStr">
        <is>
          <t>clean-stable</t>
        </is>
      </c>
      <c r="C22" s="2" t="inlineStr">
        <is>
          <t>canary-smoke3</t>
        </is>
      </c>
      <c r="D22" s="2" t="inlineStr">
        <is>
          <t>hybrid</t>
        </is>
      </c>
      <c r="E22" s="2" t="inlineStr">
        <is>
          <t>plumbing-smoke</t>
        </is>
      </c>
      <c r="F22" s="2" t="n">
        <v>1</v>
      </c>
      <c r="G22" s="2" t="n">
        <v>1</v>
      </c>
      <c r="H22" s="2" t="n">
        <v>0</v>
      </c>
      <c r="I22" s="2" t="inlineStr">
        <is>
          <t>none</t>
        </is>
      </c>
      <c r="J22" s="2" t="inlineStr">
        <is>
          <t>2026-09-12-aliyun-qwen3.7-flash-prestashop-clean-stable-canary-canary-smoke3-pilot.json</t>
        </is>
      </c>
    </row>
    <row r="23">
      <c r="A23" s="2" t="inlineStr">
        <is>
          <t>aliyun</t>
        </is>
      </c>
      <c r="B23" s="2" t="inlineStr">
        <is>
          <t>clean-stable</t>
        </is>
      </c>
      <c r="C23" s="2" t="inlineStr">
        <is>
          <t>scaleup-r100</t>
        </is>
      </c>
      <c r="D23" s="2" t="inlineStr">
        <is>
          <t>playwright</t>
        </is>
      </c>
      <c r="E23" s="2" t="inlineStr">
        <is>
          <t>pilot-evidence</t>
        </is>
      </c>
      <c r="F23" s="2" t="n">
        <v>26</v>
      </c>
      <c r="G23" s="2" t="n">
        <v>26</v>
      </c>
      <c r="H23" s="2" t="n">
        <v>0</v>
      </c>
      <c r="I23" s="2" t="inlineStr">
        <is>
          <t>none</t>
        </is>
      </c>
      <c r="J23" s="2" t="inlineStr">
        <is>
          <t>2026-09-12-aliyun-qwen3.7-flash-prestashop-clean-stable-canary-scaleup-r100-pilot.json</t>
        </is>
      </c>
    </row>
    <row r="24">
      <c r="A24" s="2" t="inlineStr">
        <is>
          <t>aliyun</t>
        </is>
      </c>
      <c r="B24" s="2" t="inlineStr">
        <is>
          <t>clean-stable</t>
        </is>
      </c>
      <c r="C24" s="2" t="inlineStr">
        <is>
          <t>scaleup-r100</t>
        </is>
      </c>
      <c r="D24" s="2" t="inlineStr">
        <is>
          <t>visual</t>
        </is>
      </c>
      <c r="E24" s="2" t="inlineStr">
        <is>
          <t>pilot-evidence</t>
        </is>
      </c>
      <c r="F24" s="2" t="n">
        <v>25</v>
      </c>
      <c r="G24" s="2" t="n">
        <v>25</v>
      </c>
      <c r="H24" s="2" t="n">
        <v>0</v>
      </c>
      <c r="I24" s="2" t="inlineStr">
        <is>
          <t>none</t>
        </is>
      </c>
      <c r="J24" s="2" t="inlineStr">
        <is>
          <t>2026-09-12-aliyun-qwen3.7-flash-prestashop-clean-stable-canary-scaleup-r100-pilot.json</t>
        </is>
      </c>
    </row>
    <row r="25">
      <c r="A25" s="2" t="inlineStr">
        <is>
          <t>aliyun</t>
        </is>
      </c>
      <c r="B25" s="2" t="inlineStr">
        <is>
          <t>clean-stable</t>
        </is>
      </c>
      <c r="C25" s="2" t="inlineStr">
        <is>
          <t>scaleup-r100</t>
        </is>
      </c>
      <c r="D25" s="2" t="inlineStr">
        <is>
          <t>hybrid</t>
        </is>
      </c>
      <c r="E25" s="2" t="inlineStr">
        <is>
          <t>pilot-evidence</t>
        </is>
      </c>
      <c r="F25" s="2" t="n">
        <v>26</v>
      </c>
      <c r="G25" s="2" t="n">
        <v>26</v>
      </c>
      <c r="H25" s="2" t="n">
        <v>0</v>
      </c>
      <c r="I25" s="2" t="inlineStr">
        <is>
          <t>none</t>
        </is>
      </c>
      <c r="J25" s="2" t="inlineStr">
        <is>
          <t>2026-09-12-aliyun-qwen3.7-flash-prestashop-clean-stable-canary-scaleup-r100-pilot.json</t>
        </is>
      </c>
    </row>
    <row r="26">
      <c r="A26" s="2" t="inlineStr">
        <is>
          <t>aliyun</t>
        </is>
      </c>
      <c r="B26" s="2" t="inlineStr">
        <is>
          <t>functional-fault</t>
        </is>
      </c>
      <c r="C26" s="2" t="inlineStr">
        <is>
          <t>fault-r3</t>
        </is>
      </c>
      <c r="D26" s="2" t="inlineStr">
        <is>
          <t>playwright</t>
        </is>
      </c>
      <c r="E26" s="2" t="inlineStr">
        <is>
          <t>pilot-evidence</t>
        </is>
      </c>
      <c r="F26" s="2" t="n">
        <v>3</v>
      </c>
      <c r="G26" s="2" t="n">
        <v>0</v>
      </c>
      <c r="H26" s="2" t="n">
        <v>3</v>
      </c>
      <c r="I26" s="2" t="inlineStr">
        <is>
          <t>execution=3</t>
        </is>
      </c>
      <c r="J26" s="2" t="inlineStr">
        <is>
          <t>2026-09-12-aliyun-qwen3.7-flash-prestashop-functional-fault-canary-fault-r3-pilot.json</t>
        </is>
      </c>
    </row>
    <row r="27">
      <c r="A27" s="2" t="inlineStr">
        <is>
          <t>aliyun</t>
        </is>
      </c>
      <c r="B27" s="2" t="inlineStr">
        <is>
          <t>functional-fault</t>
        </is>
      </c>
      <c r="C27" s="2" t="inlineStr">
        <is>
          <t>fault-r3</t>
        </is>
      </c>
      <c r="D27" s="2" t="inlineStr">
        <is>
          <t>visual</t>
        </is>
      </c>
      <c r="E27" s="2" t="inlineStr">
        <is>
          <t>pilot-evidence</t>
        </is>
      </c>
      <c r="F27" s="2" t="n">
        <v>3</v>
      </c>
      <c r="G27" s="2" t="n">
        <v>0</v>
      </c>
      <c r="H27" s="2" t="n">
        <v>3</v>
      </c>
      <c r="I27" s="2" t="inlineStr">
        <is>
          <t>oracle=3</t>
        </is>
      </c>
      <c r="J27" s="2" t="inlineStr">
        <is>
          <t>2026-09-12-aliyun-qwen3.7-flash-prestashop-functional-fault-canary-fault-r3-pilot.json</t>
        </is>
      </c>
    </row>
    <row r="28">
      <c r="A28" s="2" t="inlineStr">
        <is>
          <t>aliyun</t>
        </is>
      </c>
      <c r="B28" s="2" t="inlineStr">
        <is>
          <t>functional-fault</t>
        </is>
      </c>
      <c r="C28" s="2" t="inlineStr">
        <is>
          <t>fault-r3</t>
        </is>
      </c>
      <c r="D28" s="2" t="inlineStr">
        <is>
          <t>hybrid</t>
        </is>
      </c>
      <c r="E28" s="2" t="inlineStr">
        <is>
          <t>pilot-evidence</t>
        </is>
      </c>
      <c r="F28" s="2" t="n">
        <v>3</v>
      </c>
      <c r="G28" s="2" t="n">
        <v>0</v>
      </c>
      <c r="H28" s="2" t="n">
        <v>3</v>
      </c>
      <c r="I28" s="2" t="inlineStr">
        <is>
          <t>oracle=3</t>
        </is>
      </c>
      <c r="J28" s="2" t="inlineStr">
        <is>
          <t>2026-09-12-aliyun-qwen3.7-flash-prestashop-functional-fault-canary-fault-r3-pilot.json</t>
        </is>
      </c>
    </row>
    <row r="29">
      <c r="A29" s="2" t="inlineStr">
        <is>
          <t>aliyun</t>
        </is>
      </c>
      <c r="B29" s="2" t="inlineStr">
        <is>
          <t>functional-fault</t>
        </is>
      </c>
      <c r="C29" s="2" t="inlineStr">
        <is>
          <t>fault-r4</t>
        </is>
      </c>
      <c r="D29" s="2" t="inlineStr">
        <is>
          <t>playwright</t>
        </is>
      </c>
      <c r="E29" s="2" t="inlineStr">
        <is>
          <t>pilot-evidence</t>
        </is>
      </c>
      <c r="F29" s="2" t="n">
        <v>3</v>
      </c>
      <c r="G29" s="2" t="n">
        <v>3</v>
      </c>
      <c r="H29" s="2" t="n">
        <v>0</v>
      </c>
      <c r="I29" s="2" t="inlineStr">
        <is>
          <t>none</t>
        </is>
      </c>
      <c r="J29" s="2" t="inlineStr">
        <is>
          <t>2026-09-12-aliyun-qwen3.7-flash-prestashop-functional-fault-canary-fault-r4-pilot.json</t>
        </is>
      </c>
    </row>
    <row r="30">
      <c r="A30" s="2" t="inlineStr">
        <is>
          <t>aliyun</t>
        </is>
      </c>
      <c r="B30" s="2" t="inlineStr">
        <is>
          <t>functional-fault</t>
        </is>
      </c>
      <c r="C30" s="2" t="inlineStr">
        <is>
          <t>fault-r4</t>
        </is>
      </c>
      <c r="D30" s="2" t="inlineStr">
        <is>
          <t>visual</t>
        </is>
      </c>
      <c r="E30" s="2" t="inlineStr">
        <is>
          <t>pilot-evidence</t>
        </is>
      </c>
      <c r="F30" s="2" t="n">
        <v>3</v>
      </c>
      <c r="G30" s="2" t="n">
        <v>0</v>
      </c>
      <c r="H30" s="2" t="n">
        <v>3</v>
      </c>
      <c r="I30" s="2" t="inlineStr">
        <is>
          <t>agent-step-budget=3</t>
        </is>
      </c>
      <c r="J30" s="2" t="inlineStr">
        <is>
          <t>2026-09-12-aliyun-qwen3.7-flash-prestashop-functional-fault-canary-fault-r4-pilot.json</t>
        </is>
      </c>
    </row>
    <row r="31">
      <c r="A31" s="2" t="inlineStr">
        <is>
          <t>aliyun</t>
        </is>
      </c>
      <c r="B31" s="2" t="inlineStr">
        <is>
          <t>functional-fault</t>
        </is>
      </c>
      <c r="C31" s="2" t="inlineStr">
        <is>
          <t>fault-r4</t>
        </is>
      </c>
      <c r="D31" s="2" t="inlineStr">
        <is>
          <t>hybrid</t>
        </is>
      </c>
      <c r="E31" s="2" t="inlineStr">
        <is>
          <t>pilot-evidence</t>
        </is>
      </c>
      <c r="F31" s="2" t="n">
        <v>3</v>
      </c>
      <c r="G31" s="2" t="n">
        <v>0</v>
      </c>
      <c r="H31" s="2" t="n">
        <v>3</v>
      </c>
      <c r="I31" s="2" t="inlineStr">
        <is>
          <t>agent-step-budget=3</t>
        </is>
      </c>
      <c r="J31" s="2" t="inlineStr">
        <is>
          <t>2026-09-12-aliyun-qwen3.7-flash-prestashop-functional-fault-canary-fault-r4-pilot.json</t>
        </is>
      </c>
    </row>
    <row r="32">
      <c r="A32" s="2" t="inlineStr">
        <is>
          <t>aliyun</t>
        </is>
      </c>
      <c r="B32" s="2" t="inlineStr">
        <is>
          <t>functional-fault</t>
        </is>
      </c>
      <c r="C32" s="2" t="inlineStr">
        <is>
          <t>fault-r8</t>
        </is>
      </c>
      <c r="D32" s="2" t="inlineStr">
        <is>
          <t>playwright</t>
        </is>
      </c>
      <c r="E32" s="2" t="inlineStr">
        <is>
          <t>pilot-evidence</t>
        </is>
      </c>
      <c r="F32" s="2" t="n">
        <v>8</v>
      </c>
      <c r="G32" s="2" t="n">
        <v>8</v>
      </c>
      <c r="H32" s="2" t="n">
        <v>0</v>
      </c>
      <c r="I32" s="2" t="inlineStr">
        <is>
          <t>none</t>
        </is>
      </c>
      <c r="J32" s="2" t="inlineStr">
        <is>
          <t>2026-09-12-aliyun-qwen3.7-flash-prestashop-functional-fault-canary-fault-r8-pilot.json</t>
        </is>
      </c>
    </row>
    <row r="33">
      <c r="A33" s="2" t="inlineStr">
        <is>
          <t>aliyun</t>
        </is>
      </c>
      <c r="B33" s="2" t="inlineStr">
        <is>
          <t>functional-fault</t>
        </is>
      </c>
      <c r="C33" s="2" t="inlineStr">
        <is>
          <t>fault-r8</t>
        </is>
      </c>
      <c r="D33" s="2" t="inlineStr">
        <is>
          <t>visual</t>
        </is>
      </c>
      <c r="E33" s="2" t="inlineStr">
        <is>
          <t>pilot-evidence</t>
        </is>
      </c>
      <c r="F33" s="2" t="n">
        <v>8</v>
      </c>
      <c r="G33" s="2" t="n">
        <v>2</v>
      </c>
      <c r="H33" s="2" t="n">
        <v>6</v>
      </c>
      <c r="I33" s="2" t="inlineStr">
        <is>
          <t>agent-step-budget=6</t>
        </is>
      </c>
      <c r="J33" s="2" t="inlineStr">
        <is>
          <t>2026-09-12-aliyun-qwen3.7-flash-prestashop-functional-fault-canary-fault-r8-pilot.json</t>
        </is>
      </c>
    </row>
    <row r="34">
      <c r="A34" s="2" t="inlineStr">
        <is>
          <t>aliyun</t>
        </is>
      </c>
      <c r="B34" s="2" t="inlineStr">
        <is>
          <t>functional-fault</t>
        </is>
      </c>
      <c r="C34" s="2" t="inlineStr">
        <is>
          <t>fault-r8</t>
        </is>
      </c>
      <c r="D34" s="2" t="inlineStr">
        <is>
          <t>hybrid</t>
        </is>
      </c>
      <c r="E34" s="2" t="inlineStr">
        <is>
          <t>pilot-evidence</t>
        </is>
      </c>
      <c r="F34" s="2" t="n">
        <v>8</v>
      </c>
      <c r="G34" s="2" t="n">
        <v>3</v>
      </c>
      <c r="H34" s="2" t="n">
        <v>5</v>
      </c>
      <c r="I34" s="2" t="inlineStr">
        <is>
          <t>agent-step-budget=5</t>
        </is>
      </c>
      <c r="J34" s="2" t="inlineStr">
        <is>
          <t>2026-09-12-aliyun-qwen3.7-flash-prestashop-functional-fault-canary-fault-r8-pilot.json</t>
        </is>
      </c>
    </row>
    <row r="35">
      <c r="A35" s="2" t="inlineStr">
        <is>
          <t>aliyun</t>
        </is>
      </c>
      <c r="B35" s="2" t="inlineStr">
        <is>
          <t>functional-fault</t>
        </is>
      </c>
      <c r="C35" s="2" t="inlineStr">
        <is>
          <t>fault-stepbudget20</t>
        </is>
      </c>
      <c r="D35" s="2" t="inlineStr">
        <is>
          <t>playwright</t>
        </is>
      </c>
      <c r="E35" s="2" t="inlineStr">
        <is>
          <t>pilot-evidence</t>
        </is>
      </c>
      <c r="F35" s="2" t="n">
        <v>3</v>
      </c>
      <c r="G35" s="2" t="n">
        <v>3</v>
      </c>
      <c r="H35" s="2" t="n">
        <v>0</v>
      </c>
      <c r="I35" s="2" t="inlineStr">
        <is>
          <t>none</t>
        </is>
      </c>
      <c r="J35" s="2" t="inlineStr">
        <is>
          <t>2026-09-12-aliyun-qwen3.7-flash-prestashop-functional-fault-canary-fault-stepbudget20-pilot.json</t>
        </is>
      </c>
    </row>
    <row r="36">
      <c r="A36" s="2" t="inlineStr">
        <is>
          <t>aliyun</t>
        </is>
      </c>
      <c r="B36" s="2" t="inlineStr">
        <is>
          <t>functional-fault</t>
        </is>
      </c>
      <c r="C36" s="2" t="inlineStr">
        <is>
          <t>fault-stepbudget20</t>
        </is>
      </c>
      <c r="D36" s="2" t="inlineStr">
        <is>
          <t>visual</t>
        </is>
      </c>
      <c r="E36" s="2" t="inlineStr">
        <is>
          <t>pilot-evidence</t>
        </is>
      </c>
      <c r="F36" s="2" t="n">
        <v>3</v>
      </c>
      <c r="G36" s="2" t="n">
        <v>0</v>
      </c>
      <c r="H36" s="2" t="n">
        <v>3</v>
      </c>
      <c r="I36" s="2" t="inlineStr">
        <is>
          <t>agent-verdict=2, provider-format=1</t>
        </is>
      </c>
      <c r="J36" s="2" t="inlineStr">
        <is>
          <t>2026-09-12-aliyun-qwen3.7-flash-prestashop-functional-fault-canary-fault-stepbudget20-pilot.json</t>
        </is>
      </c>
    </row>
    <row r="37">
      <c r="A37" s="2" t="inlineStr">
        <is>
          <t>aliyun</t>
        </is>
      </c>
      <c r="B37" s="2" t="inlineStr">
        <is>
          <t>functional-fault</t>
        </is>
      </c>
      <c r="C37" s="2" t="inlineStr">
        <is>
          <t>fault-stepbudget20</t>
        </is>
      </c>
      <c r="D37" s="2" t="inlineStr">
        <is>
          <t>hybrid</t>
        </is>
      </c>
      <c r="E37" s="2" t="inlineStr">
        <is>
          <t>pilot-evidence</t>
        </is>
      </c>
      <c r="F37" s="2" t="n">
        <v>3</v>
      </c>
      <c r="G37" s="2" t="n">
        <v>2</v>
      </c>
      <c r="H37" s="2" t="n">
        <v>1</v>
      </c>
      <c r="I37" s="2" t="inlineStr">
        <is>
          <t>execution=1</t>
        </is>
      </c>
      <c r="J37" s="2" t="inlineStr">
        <is>
          <t>2026-09-12-aliyun-qwen3.7-flash-prestashop-functional-fault-canary-fault-stepbudget20-pilot.json</t>
        </is>
      </c>
    </row>
    <row r="38">
      <c r="A38" s="2" t="inlineStr">
        <is>
          <t>aliyun</t>
        </is>
      </c>
      <c r="B38" s="2" t="inlineStr">
        <is>
          <t>ui-evolution</t>
        </is>
      </c>
      <c r="C38" s="2" t="inlineStr">
        <is>
          <t>evolution-r3</t>
        </is>
      </c>
      <c r="D38" s="2" t="inlineStr">
        <is>
          <t>playwright</t>
        </is>
      </c>
      <c r="E38" s="2" t="inlineStr">
        <is>
          <t>pilot-evidence</t>
        </is>
      </c>
      <c r="F38" s="2" t="n">
        <v>3</v>
      </c>
      <c r="G38" s="2" t="n">
        <v>3</v>
      </c>
      <c r="H38" s="2" t="n">
        <v>0</v>
      </c>
      <c r="I38" s="2" t="inlineStr">
        <is>
          <t>none</t>
        </is>
      </c>
      <c r="J38" s="2" t="inlineStr">
        <is>
          <t>2026-09-12-aliyun-qwen3.7-flash-prestashop-ui-evolution-canary-evolution-r3-pilot.json</t>
        </is>
      </c>
    </row>
    <row r="39">
      <c r="A39" s="2" t="inlineStr">
        <is>
          <t>aliyun</t>
        </is>
      </c>
      <c r="B39" s="2" t="inlineStr">
        <is>
          <t>ui-evolution</t>
        </is>
      </c>
      <c r="C39" s="2" t="inlineStr">
        <is>
          <t>evolution-r3</t>
        </is>
      </c>
      <c r="D39" s="2" t="inlineStr">
        <is>
          <t>visual</t>
        </is>
      </c>
      <c r="E39" s="2" t="inlineStr">
        <is>
          <t>pilot-evidence</t>
        </is>
      </c>
      <c r="F39" s="2" t="n">
        <v>3</v>
      </c>
      <c r="G39" s="2" t="n">
        <v>3</v>
      </c>
      <c r="H39" s="2" t="n">
        <v>0</v>
      </c>
      <c r="I39" s="2" t="inlineStr">
        <is>
          <t>none</t>
        </is>
      </c>
      <c r="J39" s="2" t="inlineStr">
        <is>
          <t>2026-09-12-aliyun-qwen3.7-flash-prestashop-ui-evolution-canary-evolution-r3-pilot.json</t>
        </is>
      </c>
    </row>
    <row r="40">
      <c r="A40" s="2" t="inlineStr">
        <is>
          <t>aliyun</t>
        </is>
      </c>
      <c r="B40" s="2" t="inlineStr">
        <is>
          <t>ui-evolution</t>
        </is>
      </c>
      <c r="C40" s="2" t="inlineStr">
        <is>
          <t>evolution-r3</t>
        </is>
      </c>
      <c r="D40" s="2" t="inlineStr">
        <is>
          <t>hybrid</t>
        </is>
      </c>
      <c r="E40" s="2" t="inlineStr">
        <is>
          <t>pilot-evidence</t>
        </is>
      </c>
      <c r="F40" s="2" t="n">
        <v>3</v>
      </c>
      <c r="G40" s="2" t="n">
        <v>3</v>
      </c>
      <c r="H40" s="2" t="n">
        <v>0</v>
      </c>
      <c r="I40" s="2" t="inlineStr">
        <is>
          <t>none</t>
        </is>
      </c>
      <c r="J40" s="2" t="inlineStr">
        <is>
          <t>2026-09-12-aliyun-qwen3.7-flash-prestashop-ui-evolution-canary-evolution-r3-pilot.json</t>
        </is>
      </c>
    </row>
    <row r="41">
      <c r="A41" s="2" t="inlineStr">
        <is>
          <t>deepseek</t>
        </is>
      </c>
      <c r="B41" s="2" t="inlineStr">
        <is>
          <t>clean-stable</t>
        </is>
      </c>
      <c r="C41" s="2" t="inlineStr">
        <is>
          <t>canary-r3</t>
        </is>
      </c>
      <c r="D41" s="2" t="inlineStr">
        <is>
          <t>playwright</t>
        </is>
      </c>
      <c r="E41" s="2" t="inlineStr">
        <is>
          <t>pilot-evidence</t>
        </is>
      </c>
      <c r="F41" s="2" t="n">
        <v>3</v>
      </c>
      <c r="G41" s="2" t="n">
        <v>3</v>
      </c>
      <c r="H41" s="2" t="n">
        <v>0</v>
      </c>
      <c r="I41" s="2" t="inlineStr">
        <is>
          <t>none</t>
        </is>
      </c>
      <c r="J41" s="2" t="inlineStr">
        <is>
          <t>2026-09-12-deepseek-deepseek-v4-flash-vision-exp-prestashop-clean-stable-canary-canary-r3-pilot.json</t>
        </is>
      </c>
    </row>
    <row r="42">
      <c r="A42" s="2" t="inlineStr">
        <is>
          <t>deepseek</t>
        </is>
      </c>
      <c r="B42" s="2" t="inlineStr">
        <is>
          <t>clean-stable</t>
        </is>
      </c>
      <c r="C42" s="2" t="inlineStr">
        <is>
          <t>canary-r3</t>
        </is>
      </c>
      <c r="D42" s="2" t="inlineStr">
        <is>
          <t>visual</t>
        </is>
      </c>
      <c r="E42" s="2" t="inlineStr">
        <is>
          <t>pilot-evidence</t>
        </is>
      </c>
      <c r="F42" s="2" t="n">
        <v>3</v>
      </c>
      <c r="G42" s="2" t="n">
        <v>3</v>
      </c>
      <c r="H42" s="2" t="n">
        <v>0</v>
      </c>
      <c r="I42" s="2" t="inlineStr">
        <is>
          <t>none</t>
        </is>
      </c>
      <c r="J42" s="2" t="inlineStr">
        <is>
          <t>2026-09-12-deepseek-deepseek-v4-flash-vision-exp-prestashop-clean-stable-canary-canary-r3-pilot.json</t>
        </is>
      </c>
    </row>
    <row r="43">
      <c r="A43" s="2" t="inlineStr">
        <is>
          <t>deepseek</t>
        </is>
      </c>
      <c r="B43" s="2" t="inlineStr">
        <is>
          <t>clean-stable</t>
        </is>
      </c>
      <c r="C43" s="2" t="inlineStr">
        <is>
          <t>canary-r3</t>
        </is>
      </c>
      <c r="D43" s="2" t="inlineStr">
        <is>
          <t>hybrid</t>
        </is>
      </c>
      <c r="E43" s="2" t="inlineStr">
        <is>
          <t>pilot-evidence</t>
        </is>
      </c>
      <c r="F43" s="2" t="n">
        <v>3</v>
      </c>
      <c r="G43" s="2" t="n">
        <v>3</v>
      </c>
      <c r="H43" s="2" t="n">
        <v>0</v>
      </c>
      <c r="I43" s="2" t="inlineStr">
        <is>
          <t>none</t>
        </is>
      </c>
      <c r="J43" s="2" t="inlineStr">
        <is>
          <t>2026-09-12-deepseek-deepseek-v4-flash-vision-exp-prestashop-clean-stable-canary-canary-r3-pilot.json</t>
        </is>
      </c>
    </row>
    <row r="44">
      <c r="A44" s="2" t="inlineStr">
        <is>
          <t>deepseek</t>
        </is>
      </c>
      <c r="B44" s="2" t="inlineStr">
        <is>
          <t>functional-fault</t>
        </is>
      </c>
      <c r="C44" s="2" t="inlineStr">
        <is>
          <t>fault-r3</t>
        </is>
      </c>
      <c r="D44" s="2" t="inlineStr">
        <is>
          <t>playwright</t>
        </is>
      </c>
      <c r="E44" s="2" t="inlineStr">
        <is>
          <t>pilot-evidence</t>
        </is>
      </c>
      <c r="F44" s="2" t="n">
        <v>3</v>
      </c>
      <c r="G44" s="2" t="n">
        <v>0</v>
      </c>
      <c r="H44" s="2" t="n">
        <v>3</v>
      </c>
      <c r="I44" s="2" t="inlineStr">
        <is>
          <t>execution=3</t>
        </is>
      </c>
      <c r="J44" s="2" t="inlineStr">
        <is>
          <t>2026-09-12-deepseek-deepseek-v4-flash-vision-exp-prestashop-functional-fault-canary-fault-r3-pilot.json</t>
        </is>
      </c>
    </row>
    <row r="45">
      <c r="A45" s="2" t="inlineStr">
        <is>
          <t>deepseek</t>
        </is>
      </c>
      <c r="B45" s="2" t="inlineStr">
        <is>
          <t>functional-fault</t>
        </is>
      </c>
      <c r="C45" s="2" t="inlineStr">
        <is>
          <t>fault-r3</t>
        </is>
      </c>
      <c r="D45" s="2" t="inlineStr">
        <is>
          <t>visual</t>
        </is>
      </c>
      <c r="E45" s="2" t="inlineStr">
        <is>
          <t>pilot-evidence</t>
        </is>
      </c>
      <c r="F45" s="2" t="n">
        <v>3</v>
      </c>
      <c r="G45" s="2" t="n">
        <v>0</v>
      </c>
      <c r="H45" s="2" t="n">
        <v>3</v>
      </c>
      <c r="I45" s="2" t="inlineStr">
        <is>
          <t>grounding-loop=1, oracle=2</t>
        </is>
      </c>
      <c r="J45" s="2" t="inlineStr">
        <is>
          <t>2026-09-12-deepseek-deepseek-v4-flash-vision-exp-prestashop-functional-fault-canary-fault-r3-pilot.json</t>
        </is>
      </c>
    </row>
    <row r="46">
      <c r="A46" s="2" t="inlineStr">
        <is>
          <t>deepseek</t>
        </is>
      </c>
      <c r="B46" s="2" t="inlineStr">
        <is>
          <t>functional-fault</t>
        </is>
      </c>
      <c r="C46" s="2" t="inlineStr">
        <is>
          <t>fault-r3</t>
        </is>
      </c>
      <c r="D46" s="2" t="inlineStr">
        <is>
          <t>hybrid</t>
        </is>
      </c>
      <c r="E46" s="2" t="inlineStr">
        <is>
          <t>pilot-evidence</t>
        </is>
      </c>
      <c r="F46" s="2" t="n">
        <v>3</v>
      </c>
      <c r="G46" s="2" t="n">
        <v>0</v>
      </c>
      <c r="H46" s="2" t="n">
        <v>3</v>
      </c>
      <c r="I46" s="2" t="inlineStr">
        <is>
          <t>oracle=3</t>
        </is>
      </c>
      <c r="J46" s="2" t="inlineStr">
        <is>
          <t>2026-09-12-deepseek-deepseek-v4-flash-vision-exp-prestashop-functional-fault-canary-fault-r3-pilot.json</t>
        </is>
      </c>
    </row>
    <row r="47">
      <c r="A47" s="2" t="inlineStr">
        <is>
          <t>deepseek</t>
        </is>
      </c>
      <c r="B47" s="2" t="inlineStr">
        <is>
          <t>functional-fault</t>
        </is>
      </c>
      <c r="C47" s="2" t="inlineStr">
        <is>
          <t>fault-r4</t>
        </is>
      </c>
      <c r="D47" s="2" t="inlineStr">
        <is>
          <t>playwright</t>
        </is>
      </c>
      <c r="E47" s="2" t="inlineStr">
        <is>
          <t>pilot-evidence</t>
        </is>
      </c>
      <c r="F47" s="2" t="n">
        <v>3</v>
      </c>
      <c r="G47" s="2" t="n">
        <v>3</v>
      </c>
      <c r="H47" s="2" t="n">
        <v>0</v>
      </c>
      <c r="I47" s="2" t="inlineStr">
        <is>
          <t>none</t>
        </is>
      </c>
      <c r="J47" s="2" t="inlineStr">
        <is>
          <t>2026-09-12-deepseek-deepseek-v4-flash-vision-exp-prestashop-functional-fault-canary-fault-r4-pilot.json</t>
        </is>
      </c>
    </row>
    <row r="48">
      <c r="A48" s="2" t="inlineStr">
        <is>
          <t>deepseek</t>
        </is>
      </c>
      <c r="B48" s="2" t="inlineStr">
        <is>
          <t>functional-fault</t>
        </is>
      </c>
      <c r="C48" s="2" t="inlineStr">
        <is>
          <t>fault-r4</t>
        </is>
      </c>
      <c r="D48" s="2" t="inlineStr">
        <is>
          <t>visual</t>
        </is>
      </c>
      <c r="E48" s="2" t="inlineStr">
        <is>
          <t>pilot-evidence</t>
        </is>
      </c>
      <c r="F48" s="2" t="n">
        <v>3</v>
      </c>
      <c r="G48" s="2" t="n">
        <v>3</v>
      </c>
      <c r="H48" s="2" t="n">
        <v>0</v>
      </c>
      <c r="I48" s="2" t="inlineStr">
        <is>
          <t>none</t>
        </is>
      </c>
      <c r="J48" s="2" t="inlineStr">
        <is>
          <t>2026-09-12-deepseek-deepseek-v4-flash-vision-exp-prestashop-functional-fault-canary-fault-r4-pilot.json</t>
        </is>
      </c>
    </row>
    <row r="49">
      <c r="A49" s="2" t="inlineStr">
        <is>
          <t>deepseek</t>
        </is>
      </c>
      <c r="B49" s="2" t="inlineStr">
        <is>
          <t>functional-fault</t>
        </is>
      </c>
      <c r="C49" s="2" t="inlineStr">
        <is>
          <t>fault-r4</t>
        </is>
      </c>
      <c r="D49" s="2" t="inlineStr">
        <is>
          <t>hybrid</t>
        </is>
      </c>
      <c r="E49" s="2" t="inlineStr">
        <is>
          <t>pilot-evidence</t>
        </is>
      </c>
      <c r="F49" s="2" t="n">
        <v>3</v>
      </c>
      <c r="G49" s="2" t="n">
        <v>3</v>
      </c>
      <c r="H49" s="2" t="n">
        <v>0</v>
      </c>
      <c r="I49" s="2" t="inlineStr">
        <is>
          <t>none</t>
        </is>
      </c>
      <c r="J49" s="2" t="inlineStr">
        <is>
          <t>2026-09-12-deepseek-deepseek-v4-flash-vision-exp-prestashop-functional-fault-canary-fault-r4-pilot.json</t>
        </is>
      </c>
    </row>
    <row r="50">
      <c r="A50" s="2" t="inlineStr">
        <is>
          <t>deepseek</t>
        </is>
      </c>
      <c r="B50" s="2" t="inlineStr">
        <is>
          <t>ui-evolution</t>
        </is>
      </c>
      <c r="C50" s="2" t="inlineStr">
        <is>
          <t>evolution-r3</t>
        </is>
      </c>
      <c r="D50" s="2" t="inlineStr">
        <is>
          <t>playwright</t>
        </is>
      </c>
      <c r="E50" s="2" t="inlineStr">
        <is>
          <t>pilot-evidence</t>
        </is>
      </c>
      <c r="F50" s="2" t="n">
        <v>3</v>
      </c>
      <c r="G50" s="2" t="n">
        <v>3</v>
      </c>
      <c r="H50" s="2" t="n">
        <v>0</v>
      </c>
      <c r="I50" s="2" t="inlineStr">
        <is>
          <t>none</t>
        </is>
      </c>
      <c r="J50" s="2" t="inlineStr">
        <is>
          <t>2026-09-12-deepseek-deepseek-v4-flash-vision-exp-prestashop-ui-evolution-canary-evolution-r3-pilot.json</t>
        </is>
      </c>
    </row>
    <row r="51">
      <c r="A51" s="2" t="inlineStr">
        <is>
          <t>deepseek</t>
        </is>
      </c>
      <c r="B51" s="2" t="inlineStr">
        <is>
          <t>ui-evolution</t>
        </is>
      </c>
      <c r="C51" s="2" t="inlineStr">
        <is>
          <t>evolution-r3</t>
        </is>
      </c>
      <c r="D51" s="2" t="inlineStr">
        <is>
          <t>visual</t>
        </is>
      </c>
      <c r="E51" s="2" t="inlineStr">
        <is>
          <t>pilot-evidence</t>
        </is>
      </c>
      <c r="F51" s="2" t="n">
        <v>3</v>
      </c>
      <c r="G51" s="2" t="n">
        <v>3</v>
      </c>
      <c r="H51" s="2" t="n">
        <v>0</v>
      </c>
      <c r="I51" s="2" t="inlineStr">
        <is>
          <t>none</t>
        </is>
      </c>
      <c r="J51" s="2" t="inlineStr">
        <is>
          <t>2026-09-12-deepseek-deepseek-v4-flash-vision-exp-prestashop-ui-evolution-canary-evolution-r3-pilot.json</t>
        </is>
      </c>
    </row>
    <row r="52">
      <c r="A52" s="2" t="inlineStr">
        <is>
          <t>deepseek</t>
        </is>
      </c>
      <c r="B52" s="2" t="inlineStr">
        <is>
          <t>ui-evolution</t>
        </is>
      </c>
      <c r="C52" s="2" t="inlineStr">
        <is>
          <t>evolution-r3</t>
        </is>
      </c>
      <c r="D52" s="2" t="inlineStr">
        <is>
          <t>hybrid</t>
        </is>
      </c>
      <c r="E52" s="2" t="inlineStr">
        <is>
          <t>pilot-evidence</t>
        </is>
      </c>
      <c r="F52" s="2" t="n">
        <v>3</v>
      </c>
      <c r="G52" s="2" t="n">
        <v>3</v>
      </c>
      <c r="H52" s="2" t="n">
        <v>0</v>
      </c>
      <c r="I52" s="2" t="inlineStr">
        <is>
          <t>none</t>
        </is>
      </c>
      <c r="J52" s="2" t="inlineStr">
        <is>
          <t>2026-09-12-deepseek-deepseek-v4-flash-vision-exp-prestashop-ui-evolution-canary-evolution-r3-pilot.json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Condition</t>
        </is>
      </c>
      <c r="C1" s="1" t="inlineStr">
        <is>
          <t>Run tag</t>
        </is>
      </c>
      <c r="D1" s="1" t="inlineStr">
        <is>
          <t>Arm</t>
        </is>
      </c>
      <c r="E1" s="1" t="inlineStr">
        <is>
          <t>Started</t>
        </is>
      </c>
      <c r="F1" s="1" t="inlineStr">
        <is>
          <t>Strict passes</t>
        </is>
      </c>
      <c r="G1" s="1" t="inlineStr">
        <is>
          <t>Failures</t>
        </is>
      </c>
      <c r="H1" s="1" t="inlineStr">
        <is>
          <t>Strict pass rate</t>
        </is>
      </c>
    </row>
    <row r="2">
      <c r="A2" s="2" t="inlineStr">
        <is>
          <t>aliyun</t>
        </is>
      </c>
      <c r="B2" s="2" t="inlineStr">
        <is>
          <t>clean-stable</t>
        </is>
      </c>
      <c r="C2" s="2" t="inlineStr">
        <is>
          <t>canary-r3</t>
        </is>
      </c>
      <c r="D2" s="2" t="inlineStr">
        <is>
          <t>playwright</t>
        </is>
      </c>
      <c r="E2" s="2">
        <f>SUMIFS('Ledger cells'!$F:$F,'Ledger cells'!$A:$A,$A2,'Ledger cells'!$B:$B,$B2,'Ledger cells'!$C:$C,$C2,'Ledger cells'!$D:$D,$D2)</f>
        <v/>
      </c>
      <c r="F2" s="2">
        <f>SUMIFS('Ledger cells'!$G:$G,'Ledger cells'!$A:$A,$A2,'Ledger cells'!$B:$B,$B2,'Ledger cells'!$C:$C,$C2,'Ledger cells'!$D:$D,$D2)</f>
        <v/>
      </c>
      <c r="G2" s="2">
        <f>E2-F2</f>
        <v/>
      </c>
      <c r="H2" s="4">
        <f>IF(E2=0,"",F2/E2)</f>
        <v/>
      </c>
    </row>
    <row r="3">
      <c r="A3" s="2" t="inlineStr">
        <is>
          <t>aliyun</t>
        </is>
      </c>
      <c r="B3" s="2" t="inlineStr">
        <is>
          <t>clean-stable</t>
        </is>
      </c>
      <c r="C3" s="2" t="inlineStr">
        <is>
          <t>canary-r3</t>
        </is>
      </c>
      <c r="D3" s="2" t="inlineStr">
        <is>
          <t>visual</t>
        </is>
      </c>
      <c r="E3" s="2">
        <f>SUMIFS('Ledger cells'!$F:$F,'Ledger cells'!$A:$A,$A3,'Ledger cells'!$B:$B,$B3,'Ledger cells'!$C:$C,$C3,'Ledger cells'!$D:$D,$D3)</f>
        <v/>
      </c>
      <c r="F3" s="2">
        <f>SUMIFS('Ledger cells'!$G:$G,'Ledger cells'!$A:$A,$A3,'Ledger cells'!$B:$B,$B3,'Ledger cells'!$C:$C,$C3,'Ledger cells'!$D:$D,$D3)</f>
        <v/>
      </c>
      <c r="G3" s="2">
        <f>E3-F3</f>
        <v/>
      </c>
      <c r="H3" s="4">
        <f>IF(E3=0,"",F3/E3)</f>
        <v/>
      </c>
    </row>
    <row r="4">
      <c r="A4" s="2" t="inlineStr">
        <is>
          <t>aliyun</t>
        </is>
      </c>
      <c r="B4" s="2" t="inlineStr">
        <is>
          <t>clean-stable</t>
        </is>
      </c>
      <c r="C4" s="2" t="inlineStr">
        <is>
          <t>canary-r3</t>
        </is>
      </c>
      <c r="D4" s="2" t="inlineStr">
        <is>
          <t>hybrid</t>
        </is>
      </c>
      <c r="E4" s="2">
        <f>SUMIFS('Ledger cells'!$F:$F,'Ledger cells'!$A:$A,$A4,'Ledger cells'!$B:$B,$B4,'Ledger cells'!$C:$C,$C4,'Ledger cells'!$D:$D,$D4)</f>
        <v/>
      </c>
      <c r="F4" s="2">
        <f>SUMIFS('Ledger cells'!$G:$G,'Ledger cells'!$A:$A,$A4,'Ledger cells'!$B:$B,$B4,'Ledger cells'!$C:$C,$C4,'Ledger cells'!$D:$D,$D4)</f>
        <v/>
      </c>
      <c r="G4" s="2">
        <f>E4-F4</f>
        <v/>
      </c>
      <c r="H4" s="4">
        <f>IF(E4=0,"",F4/E4)</f>
        <v/>
      </c>
    </row>
    <row r="5">
      <c r="A5" s="2" t="inlineStr">
        <is>
          <t>aliyun</t>
        </is>
      </c>
      <c r="B5" s="2" t="inlineStr">
        <is>
          <t>clean-stable</t>
        </is>
      </c>
      <c r="C5" s="2" t="inlineStr">
        <is>
          <t>scaleup-r100</t>
        </is>
      </c>
      <c r="D5" s="2" t="inlineStr">
        <is>
          <t>playwright</t>
        </is>
      </c>
      <c r="E5" s="2">
        <f>SUMIFS('Ledger cells'!$F:$F,'Ledger cells'!$A:$A,$A5,'Ledger cells'!$B:$B,$B5,'Ledger cells'!$C:$C,$C5,'Ledger cells'!$D:$D,$D5)</f>
        <v/>
      </c>
      <c r="F5" s="2">
        <f>SUMIFS('Ledger cells'!$G:$G,'Ledger cells'!$A:$A,$A5,'Ledger cells'!$B:$B,$B5,'Ledger cells'!$C:$C,$C5,'Ledger cells'!$D:$D,$D5)</f>
        <v/>
      </c>
      <c r="G5" s="2">
        <f>E5-F5</f>
        <v/>
      </c>
      <c r="H5" s="4">
        <f>IF(E5=0,"",F5/E5)</f>
        <v/>
      </c>
    </row>
    <row r="6">
      <c r="A6" s="2" t="inlineStr">
        <is>
          <t>aliyun</t>
        </is>
      </c>
      <c r="B6" s="2" t="inlineStr">
        <is>
          <t>clean-stable</t>
        </is>
      </c>
      <c r="C6" s="2" t="inlineStr">
        <is>
          <t>scaleup-r100</t>
        </is>
      </c>
      <c r="D6" s="2" t="inlineStr">
        <is>
          <t>visual</t>
        </is>
      </c>
      <c r="E6" s="2">
        <f>SUMIFS('Ledger cells'!$F:$F,'Ledger cells'!$A:$A,$A6,'Ledger cells'!$B:$B,$B6,'Ledger cells'!$C:$C,$C6,'Ledger cells'!$D:$D,$D6)</f>
        <v/>
      </c>
      <c r="F6" s="2">
        <f>SUMIFS('Ledger cells'!$G:$G,'Ledger cells'!$A:$A,$A6,'Ledger cells'!$B:$B,$B6,'Ledger cells'!$C:$C,$C6,'Ledger cells'!$D:$D,$D6)</f>
        <v/>
      </c>
      <c r="G6" s="2">
        <f>E6-F6</f>
        <v/>
      </c>
      <c r="H6" s="4">
        <f>IF(E6=0,"",F6/E6)</f>
        <v/>
      </c>
    </row>
    <row r="7">
      <c r="A7" s="2" t="inlineStr">
        <is>
          <t>aliyun</t>
        </is>
      </c>
      <c r="B7" s="2" t="inlineStr">
        <is>
          <t>clean-stable</t>
        </is>
      </c>
      <c r="C7" s="2" t="inlineStr">
        <is>
          <t>scaleup-r100</t>
        </is>
      </c>
      <c r="D7" s="2" t="inlineStr">
        <is>
          <t>hybrid</t>
        </is>
      </c>
      <c r="E7" s="2">
        <f>SUMIFS('Ledger cells'!$F:$F,'Ledger cells'!$A:$A,$A7,'Ledger cells'!$B:$B,$B7,'Ledger cells'!$C:$C,$C7,'Ledger cells'!$D:$D,$D7)</f>
        <v/>
      </c>
      <c r="F7" s="2">
        <f>SUMIFS('Ledger cells'!$G:$G,'Ledger cells'!$A:$A,$A7,'Ledger cells'!$B:$B,$B7,'Ledger cells'!$C:$C,$C7,'Ledger cells'!$D:$D,$D7)</f>
        <v/>
      </c>
      <c r="G7" s="2">
        <f>E7-F7</f>
        <v/>
      </c>
      <c r="H7" s="4">
        <f>IF(E7=0,"",F7/E7)</f>
        <v/>
      </c>
    </row>
    <row r="8">
      <c r="A8" s="2" t="inlineStr">
        <is>
          <t>aliyun</t>
        </is>
      </c>
      <c r="B8" s="2" t="inlineStr">
        <is>
          <t>functional-fault</t>
        </is>
      </c>
      <c r="C8" s="2" t="inlineStr">
        <is>
          <t>fault-r3</t>
        </is>
      </c>
      <c r="D8" s="2" t="inlineStr">
        <is>
          <t>playwright</t>
        </is>
      </c>
      <c r="E8" s="2">
        <f>SUMIFS('Ledger cells'!$F:$F,'Ledger cells'!$A:$A,$A8,'Ledger cells'!$B:$B,$B8,'Ledger cells'!$C:$C,$C8,'Ledger cells'!$D:$D,$D8)</f>
        <v/>
      </c>
      <c r="F8" s="2">
        <f>SUMIFS('Ledger cells'!$G:$G,'Ledger cells'!$A:$A,$A8,'Ledger cells'!$B:$B,$B8,'Ledger cells'!$C:$C,$C8,'Ledger cells'!$D:$D,$D8)</f>
        <v/>
      </c>
      <c r="G8" s="2">
        <f>E8-F8</f>
        <v/>
      </c>
      <c r="H8" s="4">
        <f>IF(E8=0,"",F8/E8)</f>
        <v/>
      </c>
    </row>
    <row r="9">
      <c r="A9" s="2" t="inlineStr">
        <is>
          <t>aliyun</t>
        </is>
      </c>
      <c r="B9" s="2" t="inlineStr">
        <is>
          <t>functional-fault</t>
        </is>
      </c>
      <c r="C9" s="2" t="inlineStr">
        <is>
          <t>fault-r3</t>
        </is>
      </c>
      <c r="D9" s="2" t="inlineStr">
        <is>
          <t>visual</t>
        </is>
      </c>
      <c r="E9" s="2">
        <f>SUMIFS('Ledger cells'!$F:$F,'Ledger cells'!$A:$A,$A9,'Ledger cells'!$B:$B,$B9,'Ledger cells'!$C:$C,$C9,'Ledger cells'!$D:$D,$D9)</f>
        <v/>
      </c>
      <c r="F9" s="2">
        <f>SUMIFS('Ledger cells'!$G:$G,'Ledger cells'!$A:$A,$A9,'Ledger cells'!$B:$B,$B9,'Ledger cells'!$C:$C,$C9,'Ledger cells'!$D:$D,$D9)</f>
        <v/>
      </c>
      <c r="G9" s="2">
        <f>E9-F9</f>
        <v/>
      </c>
      <c r="H9" s="4">
        <f>IF(E9=0,"",F9/E9)</f>
        <v/>
      </c>
    </row>
    <row r="10">
      <c r="A10" s="2" t="inlineStr">
        <is>
          <t>aliyun</t>
        </is>
      </c>
      <c r="B10" s="2" t="inlineStr">
        <is>
          <t>functional-fault</t>
        </is>
      </c>
      <c r="C10" s="2" t="inlineStr">
        <is>
          <t>fault-r3</t>
        </is>
      </c>
      <c r="D10" s="2" t="inlineStr">
        <is>
          <t>hybrid</t>
        </is>
      </c>
      <c r="E10" s="2">
        <f>SUMIFS('Ledger cells'!$F:$F,'Ledger cells'!$A:$A,$A10,'Ledger cells'!$B:$B,$B10,'Ledger cells'!$C:$C,$C10,'Ledger cells'!$D:$D,$D10)</f>
        <v/>
      </c>
      <c r="F10" s="2">
        <f>SUMIFS('Ledger cells'!$G:$G,'Ledger cells'!$A:$A,$A10,'Ledger cells'!$B:$B,$B10,'Ledger cells'!$C:$C,$C10,'Ledger cells'!$D:$D,$D10)</f>
        <v/>
      </c>
      <c r="G10" s="2">
        <f>E10-F10</f>
        <v/>
      </c>
      <c r="H10" s="4">
        <f>IF(E10=0,"",F10/E10)</f>
        <v/>
      </c>
    </row>
    <row r="11">
      <c r="A11" s="2" t="inlineStr">
        <is>
          <t>aliyun</t>
        </is>
      </c>
      <c r="B11" s="2" t="inlineStr">
        <is>
          <t>functional-fault</t>
        </is>
      </c>
      <c r="C11" s="2" t="inlineStr">
        <is>
          <t>fault-r4</t>
        </is>
      </c>
      <c r="D11" s="2" t="inlineStr">
        <is>
          <t>playwright</t>
        </is>
      </c>
      <c r="E11" s="2">
        <f>SUMIFS('Ledger cells'!$F:$F,'Ledger cells'!$A:$A,$A11,'Ledger cells'!$B:$B,$B11,'Ledger cells'!$C:$C,$C11,'Ledger cells'!$D:$D,$D11)</f>
        <v/>
      </c>
      <c r="F11" s="2">
        <f>SUMIFS('Ledger cells'!$G:$G,'Ledger cells'!$A:$A,$A11,'Ledger cells'!$B:$B,$B11,'Ledger cells'!$C:$C,$C11,'Ledger cells'!$D:$D,$D11)</f>
        <v/>
      </c>
      <c r="G11" s="2">
        <f>E11-F11</f>
        <v/>
      </c>
      <c r="H11" s="4">
        <f>IF(E11=0,"",F11/E11)</f>
        <v/>
      </c>
    </row>
    <row r="12">
      <c r="A12" s="2" t="inlineStr">
        <is>
          <t>aliyun</t>
        </is>
      </c>
      <c r="B12" s="2" t="inlineStr">
        <is>
          <t>functional-fault</t>
        </is>
      </c>
      <c r="C12" s="2" t="inlineStr">
        <is>
          <t>fault-r4</t>
        </is>
      </c>
      <c r="D12" s="2" t="inlineStr">
        <is>
          <t>visual</t>
        </is>
      </c>
      <c r="E12" s="2">
        <f>SUMIFS('Ledger cells'!$F:$F,'Ledger cells'!$A:$A,$A12,'Ledger cells'!$B:$B,$B12,'Ledger cells'!$C:$C,$C12,'Ledger cells'!$D:$D,$D12)</f>
        <v/>
      </c>
      <c r="F12" s="2">
        <f>SUMIFS('Ledger cells'!$G:$G,'Ledger cells'!$A:$A,$A12,'Ledger cells'!$B:$B,$B12,'Ledger cells'!$C:$C,$C12,'Ledger cells'!$D:$D,$D12)</f>
        <v/>
      </c>
      <c r="G12" s="2">
        <f>E12-F12</f>
        <v/>
      </c>
      <c r="H12" s="4">
        <f>IF(E12=0,"",F12/E12)</f>
        <v/>
      </c>
    </row>
    <row r="13">
      <c r="A13" s="2" t="inlineStr">
        <is>
          <t>aliyun</t>
        </is>
      </c>
      <c r="B13" s="2" t="inlineStr">
        <is>
          <t>functional-fault</t>
        </is>
      </c>
      <c r="C13" s="2" t="inlineStr">
        <is>
          <t>fault-r4</t>
        </is>
      </c>
      <c r="D13" s="2" t="inlineStr">
        <is>
          <t>hybrid</t>
        </is>
      </c>
      <c r="E13" s="2">
        <f>SUMIFS('Ledger cells'!$F:$F,'Ledger cells'!$A:$A,$A13,'Ledger cells'!$B:$B,$B13,'Ledger cells'!$C:$C,$C13,'Ledger cells'!$D:$D,$D13)</f>
        <v/>
      </c>
      <c r="F13" s="2">
        <f>SUMIFS('Ledger cells'!$G:$G,'Ledger cells'!$A:$A,$A13,'Ledger cells'!$B:$B,$B13,'Ledger cells'!$C:$C,$C13,'Ledger cells'!$D:$D,$D13)</f>
        <v/>
      </c>
      <c r="G13" s="2">
        <f>E13-F13</f>
        <v/>
      </c>
      <c r="H13" s="4">
        <f>IF(E13=0,"",F13/E13)</f>
        <v/>
      </c>
    </row>
    <row r="14">
      <c r="A14" s="2" t="inlineStr">
        <is>
          <t>aliyun</t>
        </is>
      </c>
      <c r="B14" s="2" t="inlineStr">
        <is>
          <t>functional-fault</t>
        </is>
      </c>
      <c r="C14" s="2" t="inlineStr">
        <is>
          <t>fault-r8</t>
        </is>
      </c>
      <c r="D14" s="2" t="inlineStr">
        <is>
          <t>playwright</t>
        </is>
      </c>
      <c r="E14" s="2">
        <f>SUMIFS('Ledger cells'!$F:$F,'Ledger cells'!$A:$A,$A14,'Ledger cells'!$B:$B,$B14,'Ledger cells'!$C:$C,$C14,'Ledger cells'!$D:$D,$D14)</f>
        <v/>
      </c>
      <c r="F14" s="2">
        <f>SUMIFS('Ledger cells'!$G:$G,'Ledger cells'!$A:$A,$A14,'Ledger cells'!$B:$B,$B14,'Ledger cells'!$C:$C,$C14,'Ledger cells'!$D:$D,$D14)</f>
        <v/>
      </c>
      <c r="G14" s="2">
        <f>E14-F14</f>
        <v/>
      </c>
      <c r="H14" s="4">
        <f>IF(E14=0,"",F14/E14)</f>
        <v/>
      </c>
    </row>
    <row r="15">
      <c r="A15" s="2" t="inlineStr">
        <is>
          <t>aliyun</t>
        </is>
      </c>
      <c r="B15" s="2" t="inlineStr">
        <is>
          <t>functional-fault</t>
        </is>
      </c>
      <c r="C15" s="2" t="inlineStr">
        <is>
          <t>fault-r8</t>
        </is>
      </c>
      <c r="D15" s="2" t="inlineStr">
        <is>
          <t>visual</t>
        </is>
      </c>
      <c r="E15" s="2">
        <f>SUMIFS('Ledger cells'!$F:$F,'Ledger cells'!$A:$A,$A15,'Ledger cells'!$B:$B,$B15,'Ledger cells'!$C:$C,$C15,'Ledger cells'!$D:$D,$D15)</f>
        <v/>
      </c>
      <c r="F15" s="2">
        <f>SUMIFS('Ledger cells'!$G:$G,'Ledger cells'!$A:$A,$A15,'Ledger cells'!$B:$B,$B15,'Ledger cells'!$C:$C,$C15,'Ledger cells'!$D:$D,$D15)</f>
        <v/>
      </c>
      <c r="G15" s="2">
        <f>E15-F15</f>
        <v/>
      </c>
      <c r="H15" s="4">
        <f>IF(E15=0,"",F15/E15)</f>
        <v/>
      </c>
    </row>
    <row r="16">
      <c r="A16" s="2" t="inlineStr">
        <is>
          <t>aliyun</t>
        </is>
      </c>
      <c r="B16" s="2" t="inlineStr">
        <is>
          <t>functional-fault</t>
        </is>
      </c>
      <c r="C16" s="2" t="inlineStr">
        <is>
          <t>fault-r8</t>
        </is>
      </c>
      <c r="D16" s="2" t="inlineStr">
        <is>
          <t>hybrid</t>
        </is>
      </c>
      <c r="E16" s="2">
        <f>SUMIFS('Ledger cells'!$F:$F,'Ledger cells'!$A:$A,$A16,'Ledger cells'!$B:$B,$B16,'Ledger cells'!$C:$C,$C16,'Ledger cells'!$D:$D,$D16)</f>
        <v/>
      </c>
      <c r="F16" s="2">
        <f>SUMIFS('Ledger cells'!$G:$G,'Ledger cells'!$A:$A,$A16,'Ledger cells'!$B:$B,$B16,'Ledger cells'!$C:$C,$C16,'Ledger cells'!$D:$D,$D16)</f>
        <v/>
      </c>
      <c r="G16" s="2">
        <f>E16-F16</f>
        <v/>
      </c>
      <c r="H16" s="4">
        <f>IF(E16=0,"",F16/E16)</f>
        <v/>
      </c>
    </row>
    <row r="17">
      <c r="A17" s="2" t="inlineStr">
        <is>
          <t>aliyun</t>
        </is>
      </c>
      <c r="B17" s="2" t="inlineStr">
        <is>
          <t>functional-fault</t>
        </is>
      </c>
      <c r="C17" s="2" t="inlineStr">
        <is>
          <t>fault-stepbudget20</t>
        </is>
      </c>
      <c r="D17" s="2" t="inlineStr">
        <is>
          <t>playwright</t>
        </is>
      </c>
      <c r="E17" s="2">
        <f>SUMIFS('Ledger cells'!$F:$F,'Ledger cells'!$A:$A,$A17,'Ledger cells'!$B:$B,$B17,'Ledger cells'!$C:$C,$C17,'Ledger cells'!$D:$D,$D17)</f>
        <v/>
      </c>
      <c r="F17" s="2">
        <f>SUMIFS('Ledger cells'!$G:$G,'Ledger cells'!$A:$A,$A17,'Ledger cells'!$B:$B,$B17,'Ledger cells'!$C:$C,$C17,'Ledger cells'!$D:$D,$D17)</f>
        <v/>
      </c>
      <c r="G17" s="2">
        <f>E17-F17</f>
        <v/>
      </c>
      <c r="H17" s="4">
        <f>IF(E17=0,"",F17/E17)</f>
        <v/>
      </c>
    </row>
    <row r="18">
      <c r="A18" s="2" t="inlineStr">
        <is>
          <t>aliyun</t>
        </is>
      </c>
      <c r="B18" s="2" t="inlineStr">
        <is>
          <t>functional-fault</t>
        </is>
      </c>
      <c r="C18" s="2" t="inlineStr">
        <is>
          <t>fault-stepbudget20</t>
        </is>
      </c>
      <c r="D18" s="2" t="inlineStr">
        <is>
          <t>visual</t>
        </is>
      </c>
      <c r="E18" s="2">
        <f>SUMIFS('Ledger cells'!$F:$F,'Ledger cells'!$A:$A,$A18,'Ledger cells'!$B:$B,$B18,'Ledger cells'!$C:$C,$C18,'Ledger cells'!$D:$D,$D18)</f>
        <v/>
      </c>
      <c r="F18" s="2">
        <f>SUMIFS('Ledger cells'!$G:$G,'Ledger cells'!$A:$A,$A18,'Ledger cells'!$B:$B,$B18,'Ledger cells'!$C:$C,$C18,'Ledger cells'!$D:$D,$D18)</f>
        <v/>
      </c>
      <c r="G18" s="2">
        <f>E18-F18</f>
        <v/>
      </c>
      <c r="H18" s="4">
        <f>IF(E18=0,"",F18/E18)</f>
        <v/>
      </c>
    </row>
    <row r="19">
      <c r="A19" s="2" t="inlineStr">
        <is>
          <t>aliyun</t>
        </is>
      </c>
      <c r="B19" s="2" t="inlineStr">
        <is>
          <t>functional-fault</t>
        </is>
      </c>
      <c r="C19" s="2" t="inlineStr">
        <is>
          <t>fault-stepbudget20</t>
        </is>
      </c>
      <c r="D19" s="2" t="inlineStr">
        <is>
          <t>hybrid</t>
        </is>
      </c>
      <c r="E19" s="2">
        <f>SUMIFS('Ledger cells'!$F:$F,'Ledger cells'!$A:$A,$A19,'Ledger cells'!$B:$B,$B19,'Ledger cells'!$C:$C,$C19,'Ledger cells'!$D:$D,$D19)</f>
        <v/>
      </c>
      <c r="F19" s="2">
        <f>SUMIFS('Ledger cells'!$G:$G,'Ledger cells'!$A:$A,$A19,'Ledger cells'!$B:$B,$B19,'Ledger cells'!$C:$C,$C19,'Ledger cells'!$D:$D,$D19)</f>
        <v/>
      </c>
      <c r="G19" s="2">
        <f>E19-F19</f>
        <v/>
      </c>
      <c r="H19" s="4">
        <f>IF(E19=0,"",F19/E19)</f>
        <v/>
      </c>
    </row>
    <row r="20">
      <c r="A20" s="2" t="inlineStr">
        <is>
          <t>aliyun</t>
        </is>
      </c>
      <c r="B20" s="2" t="inlineStr">
        <is>
          <t>ui-evolution</t>
        </is>
      </c>
      <c r="C20" s="2" t="inlineStr">
        <is>
          <t>evolution-r3</t>
        </is>
      </c>
      <c r="D20" s="2" t="inlineStr">
        <is>
          <t>playwright</t>
        </is>
      </c>
      <c r="E20" s="2">
        <f>SUMIFS('Ledger cells'!$F:$F,'Ledger cells'!$A:$A,$A20,'Ledger cells'!$B:$B,$B20,'Ledger cells'!$C:$C,$C20,'Ledger cells'!$D:$D,$D20)</f>
        <v/>
      </c>
      <c r="F20" s="2">
        <f>SUMIFS('Ledger cells'!$G:$G,'Ledger cells'!$A:$A,$A20,'Ledger cells'!$B:$B,$B20,'Ledger cells'!$C:$C,$C20,'Ledger cells'!$D:$D,$D20)</f>
        <v/>
      </c>
      <c r="G20" s="2">
        <f>E20-F20</f>
        <v/>
      </c>
      <c r="H20" s="4">
        <f>IF(E20=0,"",F20/E20)</f>
        <v/>
      </c>
    </row>
    <row r="21">
      <c r="A21" s="2" t="inlineStr">
        <is>
          <t>aliyun</t>
        </is>
      </c>
      <c r="B21" s="2" t="inlineStr">
        <is>
          <t>ui-evolution</t>
        </is>
      </c>
      <c r="C21" s="2" t="inlineStr">
        <is>
          <t>evolution-r3</t>
        </is>
      </c>
      <c r="D21" s="2" t="inlineStr">
        <is>
          <t>visual</t>
        </is>
      </c>
      <c r="E21" s="2">
        <f>SUMIFS('Ledger cells'!$F:$F,'Ledger cells'!$A:$A,$A21,'Ledger cells'!$B:$B,$B21,'Ledger cells'!$C:$C,$C21,'Ledger cells'!$D:$D,$D21)</f>
        <v/>
      </c>
      <c r="F21" s="2">
        <f>SUMIFS('Ledger cells'!$G:$G,'Ledger cells'!$A:$A,$A21,'Ledger cells'!$B:$B,$B21,'Ledger cells'!$C:$C,$C21,'Ledger cells'!$D:$D,$D21)</f>
        <v/>
      </c>
      <c r="G21" s="2">
        <f>E21-F21</f>
        <v/>
      </c>
      <c r="H21" s="4">
        <f>IF(E21=0,"",F21/E21)</f>
        <v/>
      </c>
    </row>
    <row r="22">
      <c r="A22" s="2" t="inlineStr">
        <is>
          <t>aliyun</t>
        </is>
      </c>
      <c r="B22" s="2" t="inlineStr">
        <is>
          <t>ui-evolution</t>
        </is>
      </c>
      <c r="C22" s="2" t="inlineStr">
        <is>
          <t>evolution-r3</t>
        </is>
      </c>
      <c r="D22" s="2" t="inlineStr">
        <is>
          <t>hybrid</t>
        </is>
      </c>
      <c r="E22" s="2">
        <f>SUMIFS('Ledger cells'!$F:$F,'Ledger cells'!$A:$A,$A22,'Ledger cells'!$B:$B,$B22,'Ledger cells'!$C:$C,$C22,'Ledger cells'!$D:$D,$D22)</f>
        <v/>
      </c>
      <c r="F22" s="2">
        <f>SUMIFS('Ledger cells'!$G:$G,'Ledger cells'!$A:$A,$A22,'Ledger cells'!$B:$B,$B22,'Ledger cells'!$C:$C,$C22,'Ledger cells'!$D:$D,$D22)</f>
        <v/>
      </c>
      <c r="G22" s="2">
        <f>E22-F22</f>
        <v/>
      </c>
      <c r="H22" s="4">
        <f>IF(E22=0,"",F22/E22)</f>
        <v/>
      </c>
    </row>
    <row r="23">
      <c r="A23" s="2" t="inlineStr">
        <is>
          <t>deepseek</t>
        </is>
      </c>
      <c r="B23" s="2" t="inlineStr">
        <is>
          <t>clean-stable</t>
        </is>
      </c>
      <c r="C23" s="2" t="inlineStr">
        <is>
          <t>canary-r3</t>
        </is>
      </c>
      <c r="D23" s="2" t="inlineStr">
        <is>
          <t>playwright</t>
        </is>
      </c>
      <c r="E23" s="2">
        <f>SUMIFS('Ledger cells'!$F:$F,'Ledger cells'!$A:$A,$A23,'Ledger cells'!$B:$B,$B23,'Ledger cells'!$C:$C,$C23,'Ledger cells'!$D:$D,$D23)</f>
        <v/>
      </c>
      <c r="F23" s="2">
        <f>SUMIFS('Ledger cells'!$G:$G,'Ledger cells'!$A:$A,$A23,'Ledger cells'!$B:$B,$B23,'Ledger cells'!$C:$C,$C23,'Ledger cells'!$D:$D,$D23)</f>
        <v/>
      </c>
      <c r="G23" s="2">
        <f>E23-F23</f>
        <v/>
      </c>
      <c r="H23" s="4">
        <f>IF(E23=0,"",F23/E23)</f>
        <v/>
      </c>
    </row>
    <row r="24">
      <c r="A24" s="2" t="inlineStr">
        <is>
          <t>deepseek</t>
        </is>
      </c>
      <c r="B24" s="2" t="inlineStr">
        <is>
          <t>clean-stable</t>
        </is>
      </c>
      <c r="C24" s="2" t="inlineStr">
        <is>
          <t>canary-r3</t>
        </is>
      </c>
      <c r="D24" s="2" t="inlineStr">
        <is>
          <t>visual</t>
        </is>
      </c>
      <c r="E24" s="2">
        <f>SUMIFS('Ledger cells'!$F:$F,'Ledger cells'!$A:$A,$A24,'Ledger cells'!$B:$B,$B24,'Ledger cells'!$C:$C,$C24,'Ledger cells'!$D:$D,$D24)</f>
        <v/>
      </c>
      <c r="F24" s="2">
        <f>SUMIFS('Ledger cells'!$G:$G,'Ledger cells'!$A:$A,$A24,'Ledger cells'!$B:$B,$B24,'Ledger cells'!$C:$C,$C24,'Ledger cells'!$D:$D,$D24)</f>
        <v/>
      </c>
      <c r="G24" s="2">
        <f>E24-F24</f>
        <v/>
      </c>
      <c r="H24" s="4">
        <f>IF(E24=0,"",F24/E24)</f>
        <v/>
      </c>
    </row>
    <row r="25">
      <c r="A25" s="2" t="inlineStr">
        <is>
          <t>deepseek</t>
        </is>
      </c>
      <c r="B25" s="2" t="inlineStr">
        <is>
          <t>clean-stable</t>
        </is>
      </c>
      <c r="C25" s="2" t="inlineStr">
        <is>
          <t>canary-r3</t>
        </is>
      </c>
      <c r="D25" s="2" t="inlineStr">
        <is>
          <t>hybrid</t>
        </is>
      </c>
      <c r="E25" s="2">
        <f>SUMIFS('Ledger cells'!$F:$F,'Ledger cells'!$A:$A,$A25,'Ledger cells'!$B:$B,$B25,'Ledger cells'!$C:$C,$C25,'Ledger cells'!$D:$D,$D25)</f>
        <v/>
      </c>
      <c r="F25" s="2">
        <f>SUMIFS('Ledger cells'!$G:$G,'Ledger cells'!$A:$A,$A25,'Ledger cells'!$B:$B,$B25,'Ledger cells'!$C:$C,$C25,'Ledger cells'!$D:$D,$D25)</f>
        <v/>
      </c>
      <c r="G25" s="2">
        <f>E25-F25</f>
        <v/>
      </c>
      <c r="H25" s="4">
        <f>IF(E25=0,"",F25/E25)</f>
        <v/>
      </c>
    </row>
    <row r="26">
      <c r="A26" s="2" t="inlineStr">
        <is>
          <t>deepseek</t>
        </is>
      </c>
      <c r="B26" s="2" t="inlineStr">
        <is>
          <t>functional-fault</t>
        </is>
      </c>
      <c r="C26" s="2" t="inlineStr">
        <is>
          <t>fault-r3</t>
        </is>
      </c>
      <c r="D26" s="2" t="inlineStr">
        <is>
          <t>playwright</t>
        </is>
      </c>
      <c r="E26" s="2">
        <f>SUMIFS('Ledger cells'!$F:$F,'Ledger cells'!$A:$A,$A26,'Ledger cells'!$B:$B,$B26,'Ledger cells'!$C:$C,$C26,'Ledger cells'!$D:$D,$D26)</f>
        <v/>
      </c>
      <c r="F26" s="2">
        <f>SUMIFS('Ledger cells'!$G:$G,'Ledger cells'!$A:$A,$A26,'Ledger cells'!$B:$B,$B26,'Ledger cells'!$C:$C,$C26,'Ledger cells'!$D:$D,$D26)</f>
        <v/>
      </c>
      <c r="G26" s="2">
        <f>E26-F26</f>
        <v/>
      </c>
      <c r="H26" s="4">
        <f>IF(E26=0,"",F26/E26)</f>
        <v/>
      </c>
    </row>
    <row r="27">
      <c r="A27" s="2" t="inlineStr">
        <is>
          <t>deepseek</t>
        </is>
      </c>
      <c r="B27" s="2" t="inlineStr">
        <is>
          <t>functional-fault</t>
        </is>
      </c>
      <c r="C27" s="2" t="inlineStr">
        <is>
          <t>fault-r3</t>
        </is>
      </c>
      <c r="D27" s="2" t="inlineStr">
        <is>
          <t>visual</t>
        </is>
      </c>
      <c r="E27" s="2">
        <f>SUMIFS('Ledger cells'!$F:$F,'Ledger cells'!$A:$A,$A27,'Ledger cells'!$B:$B,$B27,'Ledger cells'!$C:$C,$C27,'Ledger cells'!$D:$D,$D27)</f>
        <v/>
      </c>
      <c r="F27" s="2">
        <f>SUMIFS('Ledger cells'!$G:$G,'Ledger cells'!$A:$A,$A27,'Ledger cells'!$B:$B,$B27,'Ledger cells'!$C:$C,$C27,'Ledger cells'!$D:$D,$D27)</f>
        <v/>
      </c>
      <c r="G27" s="2">
        <f>E27-F27</f>
        <v/>
      </c>
      <c r="H27" s="4">
        <f>IF(E27=0,"",F27/E27)</f>
        <v/>
      </c>
    </row>
    <row r="28">
      <c r="A28" s="2" t="inlineStr">
        <is>
          <t>deepseek</t>
        </is>
      </c>
      <c r="B28" s="2" t="inlineStr">
        <is>
          <t>functional-fault</t>
        </is>
      </c>
      <c r="C28" s="2" t="inlineStr">
        <is>
          <t>fault-r3</t>
        </is>
      </c>
      <c r="D28" s="2" t="inlineStr">
        <is>
          <t>hybrid</t>
        </is>
      </c>
      <c r="E28" s="2">
        <f>SUMIFS('Ledger cells'!$F:$F,'Ledger cells'!$A:$A,$A28,'Ledger cells'!$B:$B,$B28,'Ledger cells'!$C:$C,$C28,'Ledger cells'!$D:$D,$D28)</f>
        <v/>
      </c>
      <c r="F28" s="2">
        <f>SUMIFS('Ledger cells'!$G:$G,'Ledger cells'!$A:$A,$A28,'Ledger cells'!$B:$B,$B28,'Ledger cells'!$C:$C,$C28,'Ledger cells'!$D:$D,$D28)</f>
        <v/>
      </c>
      <c r="G28" s="2">
        <f>E28-F28</f>
        <v/>
      </c>
      <c r="H28" s="4">
        <f>IF(E28=0,"",F28/E28)</f>
        <v/>
      </c>
    </row>
    <row r="29">
      <c r="A29" s="2" t="inlineStr">
        <is>
          <t>deepseek</t>
        </is>
      </c>
      <c r="B29" s="2" t="inlineStr">
        <is>
          <t>functional-fault</t>
        </is>
      </c>
      <c r="C29" s="2" t="inlineStr">
        <is>
          <t>fault-r4</t>
        </is>
      </c>
      <c r="D29" s="2" t="inlineStr">
        <is>
          <t>playwright</t>
        </is>
      </c>
      <c r="E29" s="2">
        <f>SUMIFS('Ledger cells'!$F:$F,'Ledger cells'!$A:$A,$A29,'Ledger cells'!$B:$B,$B29,'Ledger cells'!$C:$C,$C29,'Ledger cells'!$D:$D,$D29)</f>
        <v/>
      </c>
      <c r="F29" s="2">
        <f>SUMIFS('Ledger cells'!$G:$G,'Ledger cells'!$A:$A,$A29,'Ledger cells'!$B:$B,$B29,'Ledger cells'!$C:$C,$C29,'Ledger cells'!$D:$D,$D29)</f>
        <v/>
      </c>
      <c r="G29" s="2">
        <f>E29-F29</f>
        <v/>
      </c>
      <c r="H29" s="4">
        <f>IF(E29=0,"",F29/E29)</f>
        <v/>
      </c>
    </row>
    <row r="30">
      <c r="A30" s="2" t="inlineStr">
        <is>
          <t>deepseek</t>
        </is>
      </c>
      <c r="B30" s="2" t="inlineStr">
        <is>
          <t>functional-fault</t>
        </is>
      </c>
      <c r="C30" s="2" t="inlineStr">
        <is>
          <t>fault-r4</t>
        </is>
      </c>
      <c r="D30" s="2" t="inlineStr">
        <is>
          <t>visual</t>
        </is>
      </c>
      <c r="E30" s="2">
        <f>SUMIFS('Ledger cells'!$F:$F,'Ledger cells'!$A:$A,$A30,'Ledger cells'!$B:$B,$B30,'Ledger cells'!$C:$C,$C30,'Ledger cells'!$D:$D,$D30)</f>
        <v/>
      </c>
      <c r="F30" s="2">
        <f>SUMIFS('Ledger cells'!$G:$G,'Ledger cells'!$A:$A,$A30,'Ledger cells'!$B:$B,$B30,'Ledger cells'!$C:$C,$C30,'Ledger cells'!$D:$D,$D30)</f>
        <v/>
      </c>
      <c r="G30" s="2">
        <f>E30-F30</f>
        <v/>
      </c>
      <c r="H30" s="4">
        <f>IF(E30=0,"",F30/E30)</f>
        <v/>
      </c>
    </row>
    <row r="31">
      <c r="A31" s="2" t="inlineStr">
        <is>
          <t>deepseek</t>
        </is>
      </c>
      <c r="B31" s="2" t="inlineStr">
        <is>
          <t>functional-fault</t>
        </is>
      </c>
      <c r="C31" s="2" t="inlineStr">
        <is>
          <t>fault-r4</t>
        </is>
      </c>
      <c r="D31" s="2" t="inlineStr">
        <is>
          <t>hybrid</t>
        </is>
      </c>
      <c r="E31" s="2">
        <f>SUMIFS('Ledger cells'!$F:$F,'Ledger cells'!$A:$A,$A31,'Ledger cells'!$B:$B,$B31,'Ledger cells'!$C:$C,$C31,'Ledger cells'!$D:$D,$D31)</f>
        <v/>
      </c>
      <c r="F31" s="2">
        <f>SUMIFS('Ledger cells'!$G:$G,'Ledger cells'!$A:$A,$A31,'Ledger cells'!$B:$B,$B31,'Ledger cells'!$C:$C,$C31,'Ledger cells'!$D:$D,$D31)</f>
        <v/>
      </c>
      <c r="G31" s="2">
        <f>E31-F31</f>
        <v/>
      </c>
      <c r="H31" s="4">
        <f>IF(E31=0,"",F31/E31)</f>
        <v/>
      </c>
    </row>
    <row r="32">
      <c r="A32" s="2" t="inlineStr">
        <is>
          <t>deepseek</t>
        </is>
      </c>
      <c r="B32" s="2" t="inlineStr">
        <is>
          <t>ui-evolution</t>
        </is>
      </c>
      <c r="C32" s="2" t="inlineStr">
        <is>
          <t>evolution-r3</t>
        </is>
      </c>
      <c r="D32" s="2" t="inlineStr">
        <is>
          <t>playwright</t>
        </is>
      </c>
      <c r="E32" s="2">
        <f>SUMIFS('Ledger cells'!$F:$F,'Ledger cells'!$A:$A,$A32,'Ledger cells'!$B:$B,$B32,'Ledger cells'!$C:$C,$C32,'Ledger cells'!$D:$D,$D32)</f>
        <v/>
      </c>
      <c r="F32" s="2">
        <f>SUMIFS('Ledger cells'!$G:$G,'Ledger cells'!$A:$A,$A32,'Ledger cells'!$B:$B,$B32,'Ledger cells'!$C:$C,$C32,'Ledger cells'!$D:$D,$D32)</f>
        <v/>
      </c>
      <c r="G32" s="2">
        <f>E32-F32</f>
        <v/>
      </c>
      <c r="H32" s="4">
        <f>IF(E32=0,"",F32/E32)</f>
        <v/>
      </c>
    </row>
    <row r="33">
      <c r="A33" s="2" t="inlineStr">
        <is>
          <t>deepseek</t>
        </is>
      </c>
      <c r="B33" s="2" t="inlineStr">
        <is>
          <t>ui-evolution</t>
        </is>
      </c>
      <c r="C33" s="2" t="inlineStr">
        <is>
          <t>evolution-r3</t>
        </is>
      </c>
      <c r="D33" s="2" t="inlineStr">
        <is>
          <t>visual</t>
        </is>
      </c>
      <c r="E33" s="2">
        <f>SUMIFS('Ledger cells'!$F:$F,'Ledger cells'!$A:$A,$A33,'Ledger cells'!$B:$B,$B33,'Ledger cells'!$C:$C,$C33,'Ledger cells'!$D:$D,$D33)</f>
        <v/>
      </c>
      <c r="F33" s="2">
        <f>SUMIFS('Ledger cells'!$G:$G,'Ledger cells'!$A:$A,$A33,'Ledger cells'!$B:$B,$B33,'Ledger cells'!$C:$C,$C33,'Ledger cells'!$D:$D,$D33)</f>
        <v/>
      </c>
      <c r="G33" s="2">
        <f>E33-F33</f>
        <v/>
      </c>
      <c r="H33" s="4">
        <f>IF(E33=0,"",F33/E33)</f>
        <v/>
      </c>
    </row>
    <row r="34">
      <c r="A34" s="2" t="inlineStr">
        <is>
          <t>deepseek</t>
        </is>
      </c>
      <c r="B34" s="2" t="inlineStr">
        <is>
          <t>ui-evolution</t>
        </is>
      </c>
      <c r="C34" s="2" t="inlineStr">
        <is>
          <t>evolution-r3</t>
        </is>
      </c>
      <c r="D34" s="2" t="inlineStr">
        <is>
          <t>hybrid</t>
        </is>
      </c>
      <c r="E34" s="2">
        <f>SUMIFS('Ledger cells'!$F:$F,'Ledger cells'!$A:$A,$A34,'Ledger cells'!$B:$B,$B34,'Ledger cells'!$C:$C,$C34,'Ledger cells'!$D:$D,$D34)</f>
        <v/>
      </c>
      <c r="F34" s="2">
        <f>SUMIFS('Ledger cells'!$G:$G,'Ledger cells'!$A:$A,$A34,'Ledger cells'!$B:$B,$B34,'Ledger cells'!$C:$C,$C34,'Ledger cells'!$D:$D,$D34)</f>
        <v/>
      </c>
      <c r="G34" s="2">
        <f>E34-F34</f>
        <v/>
      </c>
      <c r="H34" s="4">
        <f>IF(E34=0,"",F34/E34)</f>
        <v/>
      </c>
    </row>
    <row r="35">
      <c r="A35" s="5" t="n"/>
      <c r="B35" s="5" t="n"/>
      <c r="C35" s="5" t="n"/>
      <c r="D35" s="5" t="inlineStr">
        <is>
          <t>ALL</t>
        </is>
      </c>
      <c r="E35" s="5">
        <f>SUM(E2:E34)</f>
        <v/>
      </c>
      <c r="F35" s="5">
        <f>SUM(F2:F34)</f>
        <v/>
      </c>
      <c r="G35" s="5">
        <f>E35-F35</f>
        <v/>
      </c>
      <c r="H35" s="6">
        <f>IF(E35=0,"",F35/E35)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PSS-WebTest framework and experiment audit - generated 2026-09-12</t>
        </is>
      </c>
    </row>
    <row r="2">
      <c r="A2" s="2" t="inlineStr"/>
    </row>
    <row r="3">
      <c r="A3" s="8" t="inlineStr">
        <is>
          <t>Evidence boundary: framework rows are engineering status; ledger rows are admission/pilot evidence.</t>
        </is>
      </c>
    </row>
    <row r="4">
      <c r="A4" s="7" t="inlineStr">
        <is>
          <t>No record here is confirmatory. Provider strata and framework tracks are never pooled.</t>
        </is>
      </c>
    </row>
    <row r="5">
      <c r="A5" s="2" t="inlineStr"/>
    </row>
    <row r="6">
      <c r="A6" s="7" t="inlineStr">
        <is>
          <t>Framework defects: P0 = blocks scientific validity, P1 = correctness/reproducibility risk, P2 = quality.</t>
        </is>
      </c>
    </row>
    <row r="7">
      <c r="A7" s="7" t="inlineStr">
        <is>
          <t>Open rows are shaded. Full narrative: results/phase2/2026-09-12-framework-engineering-audit.md</t>
        </is>
      </c>
    </row>
    <row r="8">
      <c r="A8" s="2" t="inlineStr"/>
    </row>
    <row r="9">
      <c r="A9" s="8" t="inlineStr">
        <is>
          <t>Track collapse: upstream latest equals the frozen version for browser-use (0.13.10) and agentlab (0.4.2),</t>
        </is>
      </c>
    </row>
    <row r="10">
      <c r="A10" s="7" t="inlineStr">
        <is>
          <t>so only Stagehand has a genuine second track (3.0.8 vs 4.1.0). Collapsed rows are not strata.</t>
        </is>
      </c>
    </row>
    <row r="11">
      <c r="A11" s="7" t="inlineStr">
        <is>
          <t>Stagehand 4.1.0 no longer exports LLMClient, so the latest track is adapter-incompatible.</t>
        </is>
      </c>
    </row>
    <row r="12">
      <c r="A12" s="2" t="inlineStr"/>
    </row>
    <row r="13">
      <c r="A13" s="7" t="inlineStr">
        <is>
          <t>Ledger reading: the functional-fault condition is the only discriminating condition; clean and evolution</t>
        </is>
      </c>
    </row>
    <row r="14">
      <c r="A14" s="7" t="inlineStr">
        <is>
          <t>are at ceiling. Run tags are separate blocks and must not be pooled (fault-r3 is the retained misaligned block).</t>
        </is>
      </c>
    </row>
    <row r="15">
      <c r="A15" s="2" t="inlineStr"/>
    </row>
    <row r="16">
      <c r="A16" s="7" t="inlineStr">
        <is>
          <t>Aggregates on 'Stratified summary' are SUMIFS formulas over 'Ledger cells'.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2026-09-12T10:00:30Z</dcterms:created>
  <dcterms:modified xmlns:dcterms="http://purl.org/dc/terms/" xmlns:xsi="http://www.w3.org/2001/XMLSchema-instance" xsi:type="dcterms:W3CDTF">2026-09-12T10:00:30Z</dcterms:modified>
</cp:coreProperties>
</file>